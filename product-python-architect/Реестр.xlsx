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adnikovaAI\Desktop\Оформление\"/>
    </mc:Choice>
  </mc:AlternateContent>
  <bookViews>
    <workbookView xWindow="12315" yWindow="75" windowWidth="11745" windowHeight="11520" activeTab="2"/>
  </bookViews>
  <sheets>
    <sheet name="Прил3" sheetId="1" r:id="rId1"/>
    <sheet name="Прил4" sheetId="3" r:id="rId2"/>
    <sheet name="Прил5" sheetId="4" r:id="rId3"/>
  </sheets>
  <externalReferences>
    <externalReference r:id="rId4"/>
  </externalReferences>
  <definedNames>
    <definedName name="виддокп">#REF!</definedName>
    <definedName name="виддокс">#REF!</definedName>
    <definedName name="видраб">#REF!</definedName>
    <definedName name="дисциплина">[1]РазделДисциплина!$D$3:$D$1185</definedName>
    <definedName name="_xlnm.Print_Titles" localSheetId="0">Прил3!$9:$10</definedName>
    <definedName name="_xlnm.Print_Area" localSheetId="0">Прил3!$A$1:$J$48</definedName>
    <definedName name="_xlnm.Print_Area" localSheetId="1">Прил4!$A$1:$J$32</definedName>
    <definedName name="объектп">#REF!</definedName>
    <definedName name="объектс">#REF!</definedName>
    <definedName name="описаниераб">#REF!</definedName>
    <definedName name="разддисцп">#REF!</definedName>
    <definedName name="разддисцс">#REF!</definedName>
    <definedName name="титзонап">#REF!</definedName>
    <definedName name="титзонас">#REF!</definedName>
  </definedNames>
  <calcPr calcId="162913"/>
</workbook>
</file>

<file path=xl/calcChain.xml><?xml version="1.0" encoding="utf-8"?>
<calcChain xmlns="http://schemas.openxmlformats.org/spreadsheetml/2006/main">
  <c r="A37" i="1" l="1"/>
  <c r="A38" i="1" s="1"/>
  <c r="A12" i="1" l="1"/>
  <c r="A13" i="1" l="1"/>
  <c r="A14" i="1" s="1"/>
  <c r="A15" i="1" s="1"/>
  <c r="A16" i="1" s="1"/>
  <c r="A17" i="1" s="1"/>
  <c r="A18" i="1" s="1"/>
  <c r="A19" i="1" s="1"/>
  <c r="A20" i="1" s="1"/>
  <c r="A21" i="1" s="1"/>
  <c r="A22" i="1" s="1"/>
  <c r="A23" i="1" s="1"/>
  <c r="A24" i="1" s="1"/>
  <c r="A25" i="1" s="1"/>
  <c r="A26" i="1" s="1"/>
  <c r="A27" i="1" s="1"/>
  <c r="A28" i="1" s="1"/>
  <c r="M11" i="1"/>
  <c r="A29" i="1" l="1"/>
  <c r="K12" i="1"/>
  <c r="M12" i="1"/>
  <c r="N11" i="1"/>
  <c r="J11" i="1" s="1"/>
  <c r="A30" i="1" l="1"/>
  <c r="A31" i="1" s="1"/>
  <c r="M13" i="1"/>
  <c r="K13" i="1"/>
  <c r="N12" i="1"/>
  <c r="J12" i="1" s="1"/>
  <c r="A32" i="1" l="1"/>
  <c r="A33" i="1" s="1"/>
  <c r="A34" i="1" s="1"/>
  <c r="A35" i="1" s="1"/>
  <c r="A36" i="1" s="1"/>
  <c r="N13" i="1"/>
  <c r="J13" i="1"/>
  <c r="K14" i="1"/>
  <c r="M14" i="1"/>
  <c r="N14" i="1" l="1"/>
  <c r="J14" i="1"/>
  <c r="K15" i="1"/>
  <c r="M15" i="1"/>
  <c r="N15" i="1" l="1"/>
  <c r="J15" i="1"/>
  <c r="K16" i="1"/>
  <c r="M16" i="1"/>
  <c r="N16" i="1" l="1"/>
  <c r="J16" i="1"/>
  <c r="K17" i="1"/>
  <c r="M17" i="1"/>
  <c r="N17" i="1" l="1"/>
  <c r="K18" i="1"/>
  <c r="J17" i="1"/>
  <c r="M18" i="1"/>
  <c r="K19" i="1" l="1"/>
  <c r="M19" i="1"/>
  <c r="J18" i="1"/>
  <c r="N18" i="1"/>
  <c r="N19" i="1" l="1"/>
  <c r="K20" i="1"/>
  <c r="J19" i="1"/>
  <c r="M20" i="1"/>
  <c r="K21" i="1" l="1"/>
  <c r="M21" i="1"/>
  <c r="J20" i="1"/>
  <c r="N20" i="1"/>
  <c r="K22" i="1" l="1"/>
  <c r="M22" i="1"/>
  <c r="N21" i="1"/>
  <c r="J21" i="1"/>
  <c r="K23" i="1" l="1"/>
  <c r="M23" i="1"/>
  <c r="N22" i="1"/>
  <c r="J22" i="1" s="1"/>
  <c r="K24" i="1" l="1"/>
  <c r="M24" i="1"/>
  <c r="N23" i="1"/>
  <c r="J23" i="1" s="1"/>
  <c r="K25" i="1" l="1"/>
  <c r="M25" i="1"/>
  <c r="N24" i="1"/>
  <c r="J24" i="1" s="1"/>
  <c r="K26" i="1" l="1"/>
  <c r="M26" i="1"/>
  <c r="N25" i="1"/>
  <c r="J25" i="1" s="1"/>
  <c r="K27" i="1" l="1"/>
  <c r="M27" i="1"/>
  <c r="N26" i="1"/>
  <c r="J26" i="1" s="1"/>
  <c r="N27" i="1" l="1"/>
  <c r="J27" i="1" s="1"/>
  <c r="K28" i="1"/>
  <c r="M28" i="1"/>
  <c r="N28" i="1" l="1"/>
  <c r="J28" i="1" s="1"/>
  <c r="K29" i="1"/>
  <c r="M29" i="1"/>
  <c r="K30" i="1" l="1"/>
  <c r="M30" i="1"/>
  <c r="N29" i="1"/>
  <c r="J29" i="1" s="1"/>
  <c r="K31" i="1" l="1"/>
  <c r="M31" i="1"/>
  <c r="N30" i="1"/>
  <c r="J30" i="1" s="1"/>
  <c r="K32" i="1" l="1"/>
  <c r="M32" i="1"/>
  <c r="N31" i="1"/>
  <c r="J31" i="1" s="1"/>
  <c r="K33" i="1" l="1"/>
  <c r="M33" i="1"/>
  <c r="N32" i="1"/>
  <c r="J32" i="1" s="1"/>
  <c r="K34" i="1" l="1"/>
  <c r="M34" i="1"/>
  <c r="N33" i="1"/>
  <c r="J33" i="1" s="1"/>
  <c r="K35" i="1" l="1"/>
  <c r="M35" i="1"/>
  <c r="N34" i="1"/>
  <c r="J34" i="1" s="1"/>
  <c r="M36" i="1" l="1"/>
  <c r="K36" i="1"/>
  <c r="N35" i="1"/>
  <c r="J35" i="1" s="1"/>
  <c r="N36" i="1" l="1"/>
  <c r="J36" i="1" s="1"/>
  <c r="K37" i="1"/>
  <c r="M37" i="1"/>
  <c r="N37" i="1" l="1"/>
  <c r="J37" i="1" s="1"/>
  <c r="K38" i="1"/>
  <c r="M38" i="1"/>
  <c r="N38" i="1" l="1"/>
  <c r="J38" i="1" s="1"/>
</calcChain>
</file>

<file path=xl/sharedStrings.xml><?xml version="1.0" encoding="utf-8"?>
<sst xmlns="http://schemas.openxmlformats.org/spreadsheetml/2006/main" count="254" uniqueCount="111">
  <si>
    <t>Папка №</t>
  </si>
  <si>
    <t>Заказчик:</t>
  </si>
  <si>
    <t>Объект:</t>
  </si>
  <si>
    <t>Субподрядчик:</t>
  </si>
  <si>
    <t>№ п/п</t>
  </si>
  <si>
    <t xml:space="preserve">Наименование документа </t>
  </si>
  <si>
    <t>№ док.</t>
  </si>
  <si>
    <t>дата док.</t>
  </si>
  <si>
    <t>Организация, составившая документ</t>
  </si>
  <si>
    <t>Кол-во листов</t>
  </si>
  <si>
    <t>№ листа п/п</t>
  </si>
  <si>
    <t>Акт …</t>
  </si>
  <si>
    <t>Схема …</t>
  </si>
  <si>
    <t>Протокол …</t>
  </si>
  <si>
    <t>Спецификация …</t>
  </si>
  <si>
    <t>13-15</t>
  </si>
  <si>
    <t xml:space="preserve">Заключение ... </t>
  </si>
  <si>
    <t>16-17</t>
  </si>
  <si>
    <t>Свидетельство …</t>
  </si>
  <si>
    <t>18-27</t>
  </si>
  <si>
    <t>Сертификат …</t>
  </si>
  <si>
    <t>28-77</t>
  </si>
  <si>
    <t>Паспорт …</t>
  </si>
  <si>
    <t>25/45</t>
  </si>
  <si>
    <t>78-87</t>
  </si>
  <si>
    <t>АОСР …</t>
  </si>
  <si>
    <t>45-68</t>
  </si>
  <si>
    <t>88-89</t>
  </si>
  <si>
    <t>Ведомость…</t>
  </si>
  <si>
    <t>Договор …</t>
  </si>
  <si>
    <t>58ИТ</t>
  </si>
  <si>
    <t>91-92</t>
  </si>
  <si>
    <t xml:space="preserve">Сдал представитель </t>
  </si>
  <si>
    <t>субподрядчика: </t>
  </si>
  <si>
    <t>(должность, подразделение, ФИО, подпись)</t>
  </si>
  <si>
    <t>(дата)</t>
  </si>
  <si>
    <t xml:space="preserve">Проверил представитель </t>
  </si>
  <si>
    <t>Принял представитель</t>
  </si>
  <si>
    <t>заказчика: </t>
  </si>
  <si>
    <t>1-4</t>
  </si>
  <si>
    <t>5-10</t>
  </si>
  <si>
    <t>11-12</t>
  </si>
  <si>
    <t>РЕЕСТР</t>
  </si>
  <si>
    <t>исполнительной документации</t>
  </si>
  <si>
    <t>№ документа</t>
  </si>
  <si>
    <t>дата документа</t>
  </si>
  <si>
    <t>*</t>
  </si>
  <si>
    <t>45ПРТ</t>
  </si>
  <si>
    <t>СВОДНЫЙ РЕЕСТР</t>
  </si>
  <si>
    <t>(Ген)Подрядчик:</t>
  </si>
  <si>
    <t>(Ген)Подрядчика: </t>
  </si>
  <si>
    <t>ООО "СпецЭнергоМонтаж"</t>
  </si>
  <si>
    <t>Раздел, марка:</t>
  </si>
  <si>
    <t>Площадка:</t>
  </si>
  <si>
    <t>Опись №1</t>
  </si>
  <si>
    <t>Опись №2</t>
  </si>
  <si>
    <t>Опись №3 и т.д.</t>
  </si>
  <si>
    <t xml:space="preserve">                         Проект:</t>
  </si>
  <si>
    <t>Проект:</t>
  </si>
  <si>
    <t>1</t>
  </si>
  <si>
    <t>-</t>
  </si>
  <si>
    <t>Исходно-разрешительной документации</t>
  </si>
  <si>
    <t>АО «Промстрой»</t>
  </si>
  <si>
    <t>7</t>
  </si>
  <si>
    <t>Подрядчик:</t>
  </si>
  <si>
    <t>Строительство:</t>
  </si>
  <si>
    <t>«Западно-Сибирский комплекс глубокой переработки углеводородного сырья (УВС) в полиолефины мощностью 2,0млн. тонн в год с соответствующими объектами общезаводского хозяйства (ОЗХ)».</t>
  </si>
  <si>
    <t xml:space="preserve">ООО «ЗапСибНефтехим» </t>
  </si>
  <si>
    <t>Зона, титул:</t>
  </si>
  <si>
    <t>Шифр проекта:</t>
  </si>
  <si>
    <t>Логистическая платформа</t>
  </si>
  <si>
    <t>АКТ допуска лаборатории к проведению работ</t>
  </si>
  <si>
    <t>ПАО «СибурХолдинг»</t>
  </si>
  <si>
    <t>Договор возмездного оказания услуг</t>
  </si>
  <si>
    <t>№ЛП-022-18</t>
  </si>
  <si>
    <t>№ 0104-Л</t>
  </si>
  <si>
    <t>АО«СУ-6 Нефтегазмонтаж»</t>
  </si>
  <si>
    <t>121</t>
  </si>
  <si>
    <t>145</t>
  </si>
  <si>
    <t>Операционная технологическая карта радиографического контроля сварных соединений</t>
  </si>
  <si>
    <t>ТК-РК-1Э</t>
  </si>
  <si>
    <t>ТК-РК-4Э</t>
  </si>
  <si>
    <t>ТК-РК-7Э</t>
  </si>
  <si>
    <t>ТК-РК-10Э</t>
  </si>
  <si>
    <t>ТК-РК-13Э</t>
  </si>
  <si>
    <t>ТК-РК-22Э</t>
  </si>
  <si>
    <t>Операционная технологическая карта контроля сварных соединений капилярным методом</t>
  </si>
  <si>
    <t>ТК-ПВК-01</t>
  </si>
  <si>
    <t>ТК-ПВК-02У</t>
  </si>
  <si>
    <t xml:space="preserve">Операционная технологическая карта визуального и измерительного контроля сварных соединений </t>
  </si>
  <si>
    <t>ТК-ВИК-4М</t>
  </si>
  <si>
    <t>ТК-ВИК-6Э</t>
  </si>
  <si>
    <t>ТК-ВИК-2Э/1</t>
  </si>
  <si>
    <t>ТК-ВИК-8Э</t>
  </si>
  <si>
    <t>ТК-ВИК-5Э</t>
  </si>
  <si>
    <t>ТК-ВИК-1Э</t>
  </si>
  <si>
    <t>ТК-ВИК-1М</t>
  </si>
  <si>
    <t>ТК-ВИК-2М</t>
  </si>
  <si>
    <t>ТК-ВИК-3М</t>
  </si>
  <si>
    <t>Приказ о присвоение индивидуальных клейм</t>
  </si>
  <si>
    <t>Приказ о назначении ответственных лиц за безопасное производство работ по рент.дефектоскопии,радиационную безопасность, производственный радиационный контроль</t>
  </si>
  <si>
    <t>Приказ о назначении ответственных лиц за расшифровку и оформление результатов неразрушающего контроля</t>
  </si>
  <si>
    <t>Приказ о назначении ответственных лиц за регистрацию, введение и архивацию  результатов неразрушающего контроля</t>
  </si>
  <si>
    <t>Приказ об отнесении работников к персоналу (группа А)</t>
  </si>
  <si>
    <t>Приказ о назначении ответственных лиц за подачу, приемку, регистрацию заявок на проведение неразрушающего контроля</t>
  </si>
  <si>
    <t>Приказ о назначении ответственных лиц за подпись и заверение копий разрешительной документации и исполнительной документации</t>
  </si>
  <si>
    <t>Приказ о закрепление специалистов на объекте</t>
  </si>
  <si>
    <t xml:space="preserve">Приказ о назначении ответственных лиц за безопасное производство работ по рент.дефектоскопии,радиационную безопасность, производственный радиационный контроль, хранение, учет и эксплуатацию рентгеновских аппаратов </t>
  </si>
  <si>
    <t>Суб-
подрядчик:</t>
  </si>
  <si>
    <t>ЗАО "СУ-6 Нефтегазмонтаж"</t>
  </si>
  <si>
    <t>2018 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</si>
</sst>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charset val="204"/>
      <scheme val="minor"/>
    </font>
    <font>
      <b/>
      <sz val="10"/>
      <color rgb="FF000000"/>
      <name val="Times New Roman"/>
      <family val="1"/>
      <charset val="204"/>
    </font>
    <font>
      <sz val="10"/>
      <name val="Times New Roman"/>
      <family val="1"/>
      <charset val="204"/>
    </font>
    <font>
      <b/>
      <sz val="10"/>
      <name val="Times New Roman"/>
      <family val="1"/>
      <charset val="204"/>
    </font>
    <font>
      <b/>
      <sz val="8"/>
      <name val="Times New Roman"/>
      <family val="1"/>
      <charset val="204"/>
    </font>
    <font>
      <sz val="11"/>
      <name val="Calibri"/>
      <family val="2"/>
      <charset val="204"/>
      <scheme val="minor"/>
    </font>
    <font>
      <sz val="8"/>
      <name val="Times New Roman"/>
      <family val="1"/>
      <charset val="204"/>
    </font>
    <font>
      <i/>
      <sz val="10"/>
      <name val="Times New Roman"/>
      <family val="1"/>
      <charset val="204"/>
    </font>
    <font>
      <i/>
      <sz val="8"/>
      <name val="Times New Roman"/>
      <family val="1"/>
      <charset val="204"/>
    </font>
    <font>
      <sz val="10"/>
      <color theme="1"/>
      <name val="Times New Roman"/>
      <family val="1"/>
      <charset val="204"/>
    </font>
    <font>
      <sz val="11"/>
      <name val="Times New Roman"/>
      <family val="1"/>
      <charset val="204"/>
    </font>
    <font>
      <sz val="10"/>
      <color indexed="8"/>
      <name val="Times New Roman"/>
      <family val="1"/>
      <charset val="204"/>
    </font>
    <font>
      <b/>
      <i/>
      <sz val="8"/>
      <name val="Times New Roman"/>
      <family val="1"/>
      <charset val="204"/>
    </font>
    <font>
      <b/>
      <i/>
      <sz val="10"/>
      <name val="Times New Roman"/>
      <family val="1"/>
      <charset val="204"/>
    </font>
    <font>
      <b/>
      <i/>
      <sz val="9"/>
      <color rgb="FF000000"/>
      <name val="Times New Roman"/>
      <family val="1"/>
      <charset val="204"/>
    </font>
    <font>
      <sz val="9"/>
      <name val="Times New Roman"/>
      <family val="1"/>
      <charset val="204"/>
    </font>
    <font>
      <b/>
      <i/>
      <sz val="9"/>
      <name val="Times New Roman"/>
      <family val="1"/>
      <charset val="204"/>
    </font>
  </fonts>
  <fills count="2">
    <fill>
      <patternFill patternType="none"/>
    </fill>
    <fill>
      <patternFill patternType="gray125"/>
    </fill>
  </fills>
  <borders count="15">
    <border>
      <left/>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rgb="FF000000"/>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01">
    <xf numFmtId="0" fontId="0" fillId="0" borderId="0" xfId="0"/>
    <xf numFmtId="0" fontId="5" fillId="0" borderId="0" xfId="0" applyFont="1" applyAlignment="1">
      <alignment vertical="center"/>
    </xf>
    <xf numFmtId="0" fontId="6" fillId="0" borderId="2" xfId="0" applyFont="1" applyBorder="1" applyAlignment="1">
      <alignment horizontal="center" vertical="center" wrapText="1"/>
    </xf>
    <xf numFmtId="0" fontId="2" fillId="0" borderId="5" xfId="0" applyFont="1" applyBorder="1" applyAlignment="1">
      <alignment horizontal="center" vertical="center" wrapText="1"/>
    </xf>
    <xf numFmtId="49" fontId="5" fillId="0" borderId="0" xfId="0" applyNumberFormat="1" applyFont="1" applyAlignment="1">
      <alignment vertical="center"/>
    </xf>
    <xf numFmtId="0" fontId="2" fillId="0" borderId="1" xfId="0" applyFont="1" applyBorder="1" applyAlignment="1">
      <alignment horizontal="right" vertical="center" wrapText="1"/>
    </xf>
    <xf numFmtId="0" fontId="2" fillId="0" borderId="0" xfId="0" applyFont="1" applyBorder="1" applyAlignment="1">
      <alignment horizontal="right" vertical="center" wrapText="1"/>
    </xf>
    <xf numFmtId="0" fontId="2" fillId="0" borderId="1" xfId="0" applyFont="1" applyBorder="1" applyAlignment="1">
      <alignment vertical="center" wrapText="1"/>
    </xf>
    <xf numFmtId="49" fontId="2" fillId="0" borderId="2" xfId="0" applyNumberFormat="1" applyFont="1" applyBorder="1" applyAlignment="1">
      <alignment horizontal="center" vertical="center" wrapText="1"/>
    </xf>
    <xf numFmtId="0" fontId="6" fillId="0" borderId="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9" xfId="0" applyFont="1" applyBorder="1" applyAlignment="1">
      <alignment vertical="center" wrapText="1"/>
    </xf>
    <xf numFmtId="0" fontId="2" fillId="0" borderId="9" xfId="0" applyFont="1" applyBorder="1" applyAlignment="1">
      <alignment horizontal="center" vertical="center" wrapText="1"/>
    </xf>
    <xf numFmtId="0" fontId="2"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49" fontId="2" fillId="0" borderId="7"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3" fillId="0" borderId="6" xfId="0" applyFont="1" applyBorder="1" applyAlignment="1">
      <alignment horizontal="center" vertical="center" wrapText="1"/>
    </xf>
    <xf numFmtId="14" fontId="2" fillId="0" borderId="9" xfId="0" applyNumberFormat="1" applyFont="1" applyBorder="1" applyAlignment="1">
      <alignment horizontal="center" vertical="center" wrapText="1"/>
    </xf>
    <xf numFmtId="0" fontId="5" fillId="0" borderId="0" xfId="0" applyFont="1" applyBorder="1" applyAlignment="1">
      <alignment vertical="center"/>
    </xf>
    <xf numFmtId="0" fontId="6" fillId="0" borderId="8" xfId="0" applyFont="1" applyBorder="1" applyAlignment="1">
      <alignment horizontal="center" vertical="center" wrapText="1"/>
    </xf>
    <xf numFmtId="0" fontId="2" fillId="0" borderId="0" xfId="0" applyFont="1" applyBorder="1" applyAlignment="1">
      <alignment vertical="center" wrapText="1"/>
    </xf>
    <xf numFmtId="49" fontId="5" fillId="0" borderId="0" xfId="0" applyNumberFormat="1" applyFont="1" applyBorder="1" applyAlignment="1">
      <alignment vertical="center"/>
    </xf>
    <xf numFmtId="0" fontId="5" fillId="0" borderId="1" xfId="0" applyFont="1" applyBorder="1" applyAlignment="1">
      <alignment vertical="center" wrapText="1"/>
    </xf>
    <xf numFmtId="0" fontId="8" fillId="0" borderId="0" xfId="0" applyFont="1" applyBorder="1" applyAlignment="1">
      <alignment vertical="center" wrapText="1"/>
    </xf>
    <xf numFmtId="0" fontId="8" fillId="0" borderId="0" xfId="0" applyFont="1" applyBorder="1" applyAlignment="1">
      <alignment horizontal="center" vertical="center" wrapText="1"/>
    </xf>
    <xf numFmtId="0" fontId="2" fillId="0" borderId="0" xfId="0" applyFont="1" applyBorder="1" applyAlignment="1">
      <alignment horizontal="right" vertical="center" wrapText="1"/>
    </xf>
    <xf numFmtId="1" fontId="2" fillId="0" borderId="12" xfId="0" applyNumberFormat="1" applyFont="1" applyFill="1" applyBorder="1" applyAlignment="1">
      <alignment horizontal="center" vertical="center" wrapText="1"/>
    </xf>
    <xf numFmtId="49" fontId="2" fillId="0" borderId="12" xfId="0" applyNumberFormat="1" applyFont="1" applyFill="1" applyBorder="1" applyAlignment="1">
      <alignment horizontal="center" vertical="center" wrapText="1"/>
    </xf>
    <xf numFmtId="1" fontId="2" fillId="0" borderId="13" xfId="0" applyNumberFormat="1" applyFont="1" applyFill="1" applyBorder="1" applyAlignment="1">
      <alignment horizontal="center" vertical="center" wrapText="1"/>
    </xf>
    <xf numFmtId="0" fontId="10" fillId="0" borderId="0" xfId="0" applyFont="1" applyAlignment="1">
      <alignment vertical="center"/>
    </xf>
    <xf numFmtId="0" fontId="9" fillId="0" borderId="0" xfId="0" applyFont="1"/>
    <xf numFmtId="14" fontId="2" fillId="0" borderId="11" xfId="0" applyNumberFormat="1" applyFont="1" applyBorder="1" applyAlignment="1">
      <alignment horizontal="center" vertical="center" wrapText="1"/>
    </xf>
    <xf numFmtId="49" fontId="2" fillId="0" borderId="11" xfId="0" applyNumberFormat="1" applyFont="1" applyBorder="1" applyAlignment="1">
      <alignment horizontal="center" vertical="center" wrapText="1"/>
    </xf>
    <xf numFmtId="0" fontId="11" fillId="0" borderId="11" xfId="0" applyFont="1" applyFill="1" applyBorder="1" applyAlignment="1">
      <alignment horizontal="center" vertical="center"/>
    </xf>
    <xf numFmtId="0" fontId="2" fillId="0" borderId="0" xfId="0" applyFont="1" applyBorder="1" applyAlignment="1">
      <alignment horizontal="right" vertical="center" wrapText="1"/>
    </xf>
    <xf numFmtId="0" fontId="3" fillId="0" borderId="0" xfId="0" applyFont="1" applyBorder="1" applyAlignment="1">
      <alignment vertical="center" wrapText="1"/>
    </xf>
    <xf numFmtId="0" fontId="2" fillId="0" borderId="11" xfId="0" applyFont="1" applyBorder="1" applyAlignment="1">
      <alignment horizontal="center" vertical="center" wrapText="1"/>
    </xf>
    <xf numFmtId="0" fontId="2" fillId="0" borderId="0" xfId="0" applyFont="1" applyBorder="1" applyAlignment="1">
      <alignment horizontal="right" vertical="center" wrapText="1"/>
    </xf>
    <xf numFmtId="0" fontId="2" fillId="0" borderId="0" xfId="0" applyFont="1" applyBorder="1" applyAlignment="1">
      <alignment vertical="center" wrapText="1"/>
    </xf>
    <xf numFmtId="0" fontId="2" fillId="0" borderId="0" xfId="0" applyFont="1" applyBorder="1" applyAlignment="1">
      <alignment horizontal="right" vertical="top"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10" fillId="0" borderId="0"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2" fillId="0" borderId="0" xfId="0" applyFont="1" applyBorder="1" applyAlignment="1">
      <alignment horizontal="right" vertical="center" wrapText="1"/>
    </xf>
    <xf numFmtId="0" fontId="3" fillId="0" borderId="0" xfId="0" applyFont="1" applyBorder="1" applyAlignment="1">
      <alignment horizontal="left" vertical="center" wrapText="1"/>
    </xf>
    <xf numFmtId="0" fontId="2" fillId="0" borderId="11" xfId="0" applyFont="1" applyBorder="1" applyAlignment="1">
      <alignment horizontal="left" vertical="center" wrapText="1"/>
    </xf>
    <xf numFmtId="0" fontId="2" fillId="0" borderId="11" xfId="0" applyFont="1" applyBorder="1" applyAlignment="1">
      <alignment horizontal="center" vertical="center" wrapText="1"/>
    </xf>
    <xf numFmtId="0" fontId="15" fillId="0" borderId="11" xfId="0" applyFont="1" applyBorder="1" applyAlignment="1">
      <alignment horizontal="left" vertical="center" wrapText="1"/>
    </xf>
    <xf numFmtId="0" fontId="3" fillId="0" borderId="0" xfId="0" applyFont="1" applyBorder="1" applyAlignment="1">
      <alignment horizontal="center" vertical="center" wrapText="1"/>
    </xf>
    <xf numFmtId="0" fontId="13" fillId="0" borderId="0" xfId="0" applyFont="1" applyBorder="1" applyAlignment="1">
      <alignment horizontal="left" wrapText="1"/>
    </xf>
    <xf numFmtId="0" fontId="2" fillId="0" borderId="0" xfId="0" applyFont="1" applyFill="1" applyBorder="1" applyAlignment="1">
      <alignment horizontal="right" vertical="center"/>
    </xf>
    <xf numFmtId="0" fontId="13" fillId="0" borderId="0" xfId="0" applyFont="1" applyBorder="1" applyAlignment="1">
      <alignment horizontal="left" vertical="center" wrapText="1"/>
    </xf>
    <xf numFmtId="0" fontId="12" fillId="0" borderId="0" xfId="0" applyFont="1" applyBorder="1" applyAlignment="1">
      <alignment horizontal="left" vertical="center" wrapText="1"/>
    </xf>
    <xf numFmtId="0" fontId="14" fillId="0" borderId="0" xfId="0" applyFont="1" applyBorder="1" applyAlignment="1">
      <alignment horizontal="left" vertical="center" wrapText="1"/>
    </xf>
    <xf numFmtId="0" fontId="2" fillId="0" borderId="0" xfId="0" applyFont="1" applyBorder="1" applyAlignment="1">
      <alignment horizontal="center" vertical="center" wrapText="1"/>
    </xf>
    <xf numFmtId="0" fontId="1" fillId="0" borderId="0" xfId="0" applyFont="1" applyBorder="1" applyAlignment="1">
      <alignment horizontal="left" vertical="center" wrapText="1"/>
    </xf>
    <xf numFmtId="0" fontId="8" fillId="0" borderId="0" xfId="0" applyFont="1" applyBorder="1" applyAlignment="1">
      <alignment horizontal="center" vertical="center" wrapText="1"/>
    </xf>
    <xf numFmtId="0" fontId="7" fillId="0" borderId="0" xfId="0" applyFont="1" applyBorder="1" applyAlignment="1">
      <alignment horizontal="center" vertical="center" wrapText="1"/>
    </xf>
    <xf numFmtId="14" fontId="3" fillId="0" borderId="14" xfId="0" applyNumberFormat="1" applyFont="1" applyBorder="1" applyAlignment="1">
      <alignment horizontal="center" vertical="center" wrapText="1"/>
    </xf>
    <xf numFmtId="0" fontId="5" fillId="0" borderId="0" xfId="0" applyFont="1" applyBorder="1" applyAlignment="1">
      <alignment vertical="center" wrapText="1"/>
    </xf>
    <xf numFmtId="0" fontId="5" fillId="0" borderId="0" xfId="0" applyFont="1" applyBorder="1" applyAlignment="1">
      <alignment horizontal="center" vertical="center" wrapText="1"/>
    </xf>
    <xf numFmtId="0" fontId="3" fillId="0" borderId="14" xfId="0" applyFont="1" applyBorder="1" applyAlignment="1">
      <alignment vertical="center" wrapText="1"/>
    </xf>
    <xf numFmtId="0" fontId="2" fillId="0" borderId="0" xfId="0" applyFont="1" applyBorder="1" applyAlignment="1">
      <alignment horizontal="left" vertical="center" wrapText="1"/>
    </xf>
    <xf numFmtId="0" fontId="4" fillId="0" borderId="0" xfId="0" applyFont="1" applyBorder="1" applyAlignment="1">
      <alignment horizontal="left" vertical="center" wrapText="1"/>
    </xf>
    <xf numFmtId="0" fontId="3" fillId="0" borderId="0" xfId="0" applyFont="1" applyBorder="1" applyAlignment="1">
      <alignment vertical="center" wrapText="1"/>
    </xf>
    <xf numFmtId="0" fontId="2" fillId="0" borderId="9" xfId="0" applyFont="1" applyBorder="1" applyAlignment="1">
      <alignment vertical="center" wrapText="1"/>
    </xf>
    <xf numFmtId="0" fontId="2" fillId="0" borderId="3" xfId="0" applyFont="1" applyBorder="1" applyAlignment="1">
      <alignment vertical="center" wrapText="1"/>
    </xf>
    <xf numFmtId="0" fontId="3" fillId="0" borderId="6" xfId="0" applyFont="1" applyBorder="1" applyAlignment="1">
      <alignment horizontal="center" vertical="center" wrapText="1"/>
    </xf>
    <xf numFmtId="0" fontId="6" fillId="0" borderId="8" xfId="0" applyFont="1" applyBorder="1" applyAlignment="1">
      <alignment horizontal="center" vertical="center" wrapText="1"/>
    </xf>
    <xf numFmtId="0" fontId="6"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0" borderId="9"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3" fillId="0" borderId="6" xfId="0" applyFont="1" applyBorder="1" applyAlignment="1">
      <alignment vertical="center" wrapText="1"/>
    </xf>
    <xf numFmtId="14" fontId="3" fillId="0" borderId="6"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6" fillId="0" borderId="7" xfId="0" applyFont="1" applyBorder="1" applyAlignment="1">
      <alignment horizontal="center" vertical="center" wrapText="1"/>
    </xf>
    <xf numFmtId="49" fontId="3" fillId="0" borderId="0" xfId="0" applyNumberFormat="1" applyFont="1" applyBorder="1" applyAlignment="1">
      <alignment horizontal="left" vertical="center" wrapText="1"/>
    </xf>
    <xf numFmtId="0" fontId="2" fillId="0" borderId="4" xfId="0" applyFont="1" applyBorder="1" applyAlignment="1">
      <alignment vertical="center" wrapText="1"/>
    </xf>
    <xf numFmtId="0" fontId="6" fillId="0" borderId="9"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4" xfId="0" applyFont="1" applyBorder="1" applyAlignment="1">
      <alignment horizontal="center" vertical="center" wrapText="1"/>
    </xf>
    <xf numFmtId="0" fontId="5" fillId="0" borderId="9" xfId="0" applyFont="1" applyBorder="1"/>
    <xf numFmtId="0" fontId="5" fillId="0" borderId="4" xfId="0" applyFont="1" applyBorder="1"/>
    <xf numFmtId="0" fontId="5" fillId="0" borderId="1" xfId="0" applyFont="1" applyBorder="1" applyAlignment="1">
      <alignment vertical="center" wrapText="1"/>
    </xf>
    <xf numFmtId="0" fontId="2" fillId="0" borderId="0" xfId="0" applyFont="1" applyBorder="1" applyAlignment="1">
      <alignmen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nshinaas/AppData/Local/Microsoft/Windows/Temporary%20Internet%20Files/Content.Outlook/JJMF9VR8/&#1072;&#1090;&#1088;&#1080;&#1073;&#1091;&#1090;&#109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ъект"/>
      <sheetName val="ТитулЗона"/>
      <sheetName val="ВидПодъобекта"/>
      <sheetName val="ТипПодъоб"/>
      <sheetName val="Система"/>
      <sheetName val="СредаПодъоб"/>
      <sheetName val="ВидРабот"/>
      <sheetName val="ОписаниеРабот"/>
      <sheetName val="РазделДисциплина"/>
      <sheetName val="ВидДок"/>
      <sheetName val="ТипДок"/>
      <sheetName val="прил1"/>
      <sheetName val="прил2"/>
    </sheetNames>
    <sheetDataSet>
      <sheetData sheetId="0"/>
      <sheetData sheetId="1"/>
      <sheetData sheetId="2"/>
      <sheetData sheetId="3"/>
      <sheetData sheetId="4"/>
      <sheetData sheetId="5"/>
      <sheetData sheetId="6"/>
      <sheetData sheetId="7"/>
      <sheetData sheetId="8">
        <row r="3">
          <cell r="D3" t="str">
            <v>АОВ-1 Автоматизация вентиляции дымоудаления</v>
          </cell>
        </row>
        <row r="4">
          <cell r="D4" t="str">
            <v>АГСН Автоматизация сетей газоснабжения</v>
          </cell>
        </row>
        <row r="5">
          <cell r="D5" t="str">
            <v>АД Автомобильные дороги</v>
          </cell>
        </row>
        <row r="6">
          <cell r="D6" t="str">
            <v>АК Автоматизация комплексная</v>
          </cell>
        </row>
        <row r="7">
          <cell r="D7" t="str">
            <v xml:space="preserve">АН </v>
          </cell>
        </row>
        <row r="8">
          <cell r="D8" t="str">
            <v>АНВК Автоматизация сетей водоснабжения и канализации</v>
          </cell>
        </row>
        <row r="9">
          <cell r="D9" t="str">
            <v>АОВ Автоматизация отопления и вентиляции</v>
          </cell>
        </row>
        <row r="10">
          <cell r="D10" t="str">
            <v>АОВ-2 Автоматизация вентиляции дымоудаления</v>
          </cell>
        </row>
        <row r="11">
          <cell r="D11" t="str">
            <v>АПТ Автоматическое пожаротушение</v>
          </cell>
        </row>
        <row r="12">
          <cell r="D12" t="str">
            <v>АР Архитектурные решения</v>
          </cell>
        </row>
        <row r="13">
          <cell r="D13" t="str">
            <v>АС Архитектурно-строительные решения</v>
          </cell>
        </row>
        <row r="14">
          <cell r="D14" t="str">
            <v>АС-1 Общестроительные решения</v>
          </cell>
        </row>
        <row r="15">
          <cell r="D15" t="str">
            <v>АТС Автоматизация резервного теплоснабжения</v>
          </cell>
        </row>
        <row r="16">
          <cell r="D16" t="str">
            <v>АТХ Автоматизация технологии производства</v>
          </cell>
        </row>
        <row r="17">
          <cell r="D17" t="str">
            <v>БД колодец канализационный</v>
          </cell>
        </row>
        <row r="18">
          <cell r="D18" t="str">
            <v>ВК Водопровод и канализация</v>
          </cell>
        </row>
        <row r="19">
          <cell r="D19" t="str">
            <v>ГСН Наружный газопровод</v>
          </cell>
        </row>
        <row r="20">
          <cell r="D20" t="str">
            <v>КЖ Конструкции железобетонные</v>
          </cell>
        </row>
        <row r="21">
          <cell r="D21" t="str">
            <v>КЖ, КМ Конструкции железобетонные Конструкции металлические</v>
          </cell>
        </row>
        <row r="22">
          <cell r="D22" t="str">
            <v>КЖ1 Свайные поля, схемы расположения сваек-стоек</v>
          </cell>
        </row>
        <row r="23">
          <cell r="D23" t="str">
            <v>КЖИ Конструкции железобетонные. Изделия или Железобетонные изделия</v>
          </cell>
        </row>
        <row r="24">
          <cell r="D24" t="str">
            <v>КМ Конструкции металлические</v>
          </cell>
        </row>
        <row r="25">
          <cell r="D25" t="str">
            <v>КМ1 Конструкции металлические обслуживание площадки и лестницы эстакады</v>
          </cell>
        </row>
        <row r="26">
          <cell r="D26" t="str">
            <v>НВК  Наружное сети водоснабжения и канализации</v>
          </cell>
        </row>
        <row r="27">
          <cell r="D27" t="str">
            <v>НВК.1 Наружные сети канализации</v>
          </cell>
        </row>
        <row r="28">
          <cell r="D28" t="str">
            <v>НТК Технологические коммуникации</v>
          </cell>
        </row>
        <row r="29">
          <cell r="D29" t="str">
            <v>ОВ Отопление, вентиляция и кондинционирование</v>
          </cell>
        </row>
        <row r="30">
          <cell r="D30" t="str">
            <v>ПЖ Железнодорожные пути</v>
          </cell>
        </row>
        <row r="31">
          <cell r="D31" t="str">
            <v>ТИ Тепловая изоляция оборудования и трубопроводов</v>
          </cell>
        </row>
        <row r="32">
          <cell r="D32" t="str">
            <v>ТС Резервное теплоснабжение</v>
          </cell>
        </row>
        <row r="33">
          <cell r="D33" t="str">
            <v>ТС.ТИ Резервное теплоснабжение Тепловая изоляция оборудования и трубопроводов</v>
          </cell>
        </row>
        <row r="34">
          <cell r="D34" t="str">
            <v>ТХ Технология производства</v>
          </cell>
        </row>
        <row r="35">
          <cell r="D35" t="str">
            <v>ЭГ Заземление и молниезащита</v>
          </cell>
        </row>
        <row r="36">
          <cell r="D36" t="str">
            <v>ЭМ Электромонтажные работы</v>
          </cell>
        </row>
        <row r="37">
          <cell r="D37" t="str">
            <v>ЭМ1 Электромонтажные работы</v>
          </cell>
        </row>
        <row r="38">
          <cell r="D38" t="str">
            <v>ЭМ2 Электромонтажные работы</v>
          </cell>
        </row>
        <row r="39">
          <cell r="D39" t="str">
            <v>ЭМ3 Электромонтажные работы</v>
          </cell>
        </row>
        <row r="40">
          <cell r="D40" t="str">
            <v>ЭМ4 Электромонтажные работы</v>
          </cell>
        </row>
        <row r="41">
          <cell r="D41" t="str">
            <v>ЭН Наружное электроосвещение</v>
          </cell>
        </row>
        <row r="42">
          <cell r="D42" t="str">
            <v>ЭО Внутреннее электроосвещение</v>
          </cell>
        </row>
        <row r="43">
          <cell r="D43" t="str">
            <v>ЭС1 Наружные кабельные сети 10 кВ</v>
          </cell>
        </row>
        <row r="44">
          <cell r="D44" t="str">
            <v xml:space="preserve">ЭС2 Наружные кабельные сети до 1000 В </v>
          </cell>
        </row>
        <row r="45">
          <cell r="D45" t="str">
            <v>ЭС3 Ремонтная сеть</v>
          </cell>
        </row>
        <row r="46">
          <cell r="D46" t="str">
            <v>A Общее</v>
          </cell>
        </row>
        <row r="47">
          <cell r="D47" t="str">
            <v>A-CA Схема</v>
          </cell>
        </row>
        <row r="48">
          <cell r="D48" t="str">
            <v>A-CC Калькуляция затрат</v>
          </cell>
        </row>
        <row r="49">
          <cell r="D49" t="str">
            <v>A-CE Общий расчет</v>
          </cell>
        </row>
        <row r="50">
          <cell r="D50" t="str">
            <v>A-DE Листки технических данных</v>
          </cell>
        </row>
        <row r="51">
          <cell r="D51" t="str">
            <v>A-GE Перечень приложений</v>
          </cell>
        </row>
        <row r="52">
          <cell r="D52" t="str">
            <v>A-Kl Отчет по затратам - Внутренний</v>
          </cell>
        </row>
        <row r="53">
          <cell r="D53" t="str">
            <v>A-KK Отчет по затртам - Внешний</v>
          </cell>
        </row>
        <row r="54">
          <cell r="D54" t="str">
            <v>A-LD Перечень документов, содержание</v>
          </cell>
        </row>
        <row r="55">
          <cell r="D55" t="str">
            <v>A-LE Перечень оборудования</v>
          </cell>
        </row>
        <row r="56">
          <cell r="D56" t="str">
            <v>A-LF Перечень отчетов  о несоотвествии техническим условиям</v>
          </cell>
        </row>
        <row r="57">
          <cell r="D57" t="str">
            <v>A-LG Перечень компьютерных данных</v>
          </cell>
        </row>
        <row r="58">
          <cell r="D58" t="str">
            <v>A-LM Ведомость материалов</v>
          </cell>
        </row>
        <row r="59">
          <cell r="D59" t="str">
            <v>A-LT Перечень грузовых мест</v>
          </cell>
        </row>
        <row r="60">
          <cell r="D60" t="str">
            <v>A-LV Перечень поставщиков</v>
          </cell>
        </row>
        <row r="61">
          <cell r="D61" t="str">
            <v>A-LX Прайс-лист</v>
          </cell>
        </row>
        <row r="62">
          <cell r="D62" t="str">
            <v>A-LY Общий перечень  запчастей</v>
          </cell>
        </row>
        <row r="63">
          <cell r="D63" t="str">
            <v>A-MM Руководство по эксплуатации</v>
          </cell>
        </row>
        <row r="64">
          <cell r="D64" t="str">
            <v>A-NC Уведомительное письмо</v>
          </cell>
        </row>
        <row r="65">
          <cell r="D65" t="str">
            <v>A-OR Заявка на размещение заказа в главном календарном графике</v>
          </cell>
        </row>
        <row r="66">
          <cell r="D66" t="str">
            <v>A-PA Процедура, инструкция по эксплуатации</v>
          </cell>
        </row>
        <row r="67">
          <cell r="D67" t="str">
            <v>A-PC Процедура координации, включая процедуру квалификации подрядчика</v>
          </cell>
        </row>
        <row r="68">
          <cell r="D68" t="str">
            <v>A-PK Планирование объема производства</v>
          </cell>
        </row>
        <row r="69">
          <cell r="D69" t="str">
            <v>A-PP Организационная структура</v>
          </cell>
        </row>
        <row r="70">
          <cell r="D70" t="str">
            <v>A-PQ План контроля качества проекта,Генеральный план валидации</v>
          </cell>
        </row>
        <row r="71">
          <cell r="D71" t="str">
            <v>A-QA Акт приемки, протокол передачи</v>
          </cell>
        </row>
        <row r="72">
          <cell r="D72" t="str">
            <v>A-RB Заключение о выполненной работе</v>
          </cell>
        </row>
        <row r="73">
          <cell r="D73" t="str">
            <v>A-RF Отчет о несоотвествии техническим условиям</v>
          </cell>
        </row>
        <row r="74">
          <cell r="D74" t="str">
            <v>A-RN Затраты по проекту - дальнейшие расчеты</v>
          </cell>
        </row>
        <row r="75">
          <cell r="D75" t="str">
            <v>A-RP Отчет по ходу работ, Оотчет по проекту, перечень недостатков</v>
          </cell>
        </row>
        <row r="76">
          <cell r="D76" t="str">
            <v>A-SD Результаты изысканий и метеорологические данные на площадке строительства</v>
          </cell>
        </row>
        <row r="77">
          <cell r="D77" t="str">
            <v>A-SG Спецификация на общее проектирование, вкл.квалификационные требования</v>
          </cell>
        </row>
        <row r="78">
          <cell r="D78" t="str">
            <v>A-SK Спецификация на упаковку, перевозку и консервацию</v>
          </cell>
        </row>
        <row r="79">
          <cell r="D79" t="str">
            <v>A-SP Стандартные технические условия</v>
          </cell>
        </row>
        <row r="80">
          <cell r="D80" t="str">
            <v>A-SS Конкретная проектная спецификация</v>
          </cell>
        </row>
        <row r="81">
          <cell r="D81" t="str">
            <v>A-SZ Спецификации документации</v>
          </cell>
        </row>
        <row r="82">
          <cell r="D82" t="str">
            <v>A-TE График выпуска документации</v>
          </cell>
        </row>
        <row r="83">
          <cell r="D83" t="str">
            <v>A-TT Временной график</v>
          </cell>
        </row>
        <row r="84">
          <cell r="D84" t="str">
            <v>A-XX Лист технических данных поставщика</v>
          </cell>
        </row>
        <row r="85">
          <cell r="D85" t="str">
            <v>B Статическое оборудование и комплектные установки</v>
          </cell>
        </row>
        <row r="86">
          <cell r="D86" t="str">
            <v>B-CA Схема</v>
          </cell>
        </row>
        <row r="87">
          <cell r="D87" t="str">
            <v>B-CD Основы расчета ветровой и сейсмической нагрузки для оборудования</v>
          </cell>
        </row>
        <row r="88">
          <cell r="D88" t="str">
            <v>B-CE Проектные расчеты</v>
          </cell>
        </row>
        <row r="89">
          <cell r="D89" t="str">
            <v>B-CW Расчет нагрузки сосуда</v>
          </cell>
        </row>
        <row r="90">
          <cell r="D90" t="str">
            <v>B-DE Листки технических данных на механическое оборудование</v>
          </cell>
        </row>
        <row r="91">
          <cell r="D91" t="str">
            <v>B-GE Перечень вспомогательных деталей оборудования</v>
          </cell>
        </row>
        <row r="92">
          <cell r="D92" t="str">
            <v>B-LD Перечень чертежей. Перечень документов, Содержание</v>
          </cell>
        </row>
        <row r="93">
          <cell r="D93" t="str">
            <v>B-LE Перечень основного оборудования</v>
          </cell>
        </row>
        <row r="94">
          <cell r="D94" t="str">
            <v>B-LP Перечень частей/элементов</v>
          </cell>
        </row>
        <row r="95">
          <cell r="D95" t="str">
            <v>B-LQ План обеспечения качества</v>
          </cell>
        </row>
        <row r="96">
          <cell r="D96" t="str">
            <v>B-LT Перечень специальных инструментов</v>
          </cell>
        </row>
        <row r="97">
          <cell r="D97" t="str">
            <v>B-LV Перечень поставщиков</v>
          </cell>
        </row>
        <row r="98">
          <cell r="D98" t="str">
            <v>B-LY Перечень запчастей</v>
          </cell>
        </row>
        <row r="99">
          <cell r="D99" t="str">
            <v>B-MM Руководство по эксплуатации</v>
          </cell>
        </row>
        <row r="100">
          <cell r="D100" t="str">
            <v>B-OR Заявка на размещение заказа в главном календарном графике</v>
          </cell>
        </row>
        <row r="101">
          <cell r="D101" t="str">
            <v>B-PE Процедура, инструкция по эксплуатации, план сварки и инспекций</v>
          </cell>
        </row>
        <row r="102">
          <cell r="D102" t="str">
            <v>B-QA Акт приемки</v>
          </cell>
        </row>
        <row r="103">
          <cell r="D103" t="str">
            <v>B-RF Отчет о несоотвествии техническим условиям</v>
          </cell>
        </row>
        <row r="104">
          <cell r="D104" t="str">
            <v>B-RM Протокол по разъяснительному техническому совещанию</v>
          </cell>
        </row>
        <row r="105">
          <cell r="D105" t="str">
            <v>B-RT Протокол испытания</v>
          </cell>
        </row>
        <row r="106">
          <cell r="D106" t="str">
            <v>R-RW Акт замены материала</v>
          </cell>
        </row>
        <row r="107">
          <cell r="D107" t="str">
            <v>B-SD Проектная спецификация (механическое оборудование), титульный лист технической спецификации</v>
          </cell>
        </row>
        <row r="108">
          <cell r="D108" t="str">
            <v>B-SG Общая спецификация по проектированию</v>
          </cell>
        </row>
        <row r="109">
          <cell r="D109" t="str">
            <v>B-SP Стандартная спецификация</v>
          </cell>
        </row>
        <row r="110">
          <cell r="D110" t="str">
            <v>B-SS Специальная проектная спецификация</v>
          </cell>
        </row>
        <row r="111">
          <cell r="D111" t="str">
            <v>B-ST Условия поставки</v>
          </cell>
        </row>
        <row r="112">
          <cell r="D112" t="str">
            <v>B-SY Объем работы</v>
          </cell>
        </row>
        <row r="113">
          <cell r="D113" t="str">
            <v>B-TA Техническая оценка тендерного предложения</v>
          </cell>
        </row>
        <row r="114">
          <cell r="D114" t="str">
            <v>B-TT Временной график</v>
          </cell>
        </row>
        <row r="115">
          <cell r="D115" t="str">
            <v>B-TZ График планово-предупредительного ремонта</v>
          </cell>
        </row>
        <row r="116">
          <cell r="D116" t="str">
            <v>B-XX Лист технических данных поставщика</v>
          </cell>
        </row>
        <row r="117">
          <cell r="D117" t="str">
            <v>B-ZA Компоновочный чертеж. Чертеж расположения помещений с указанием классификации</v>
          </cell>
        </row>
        <row r="118">
          <cell r="D118" t="str">
            <v>B-ZC Чертеж поперечного сечения</v>
          </cell>
        </row>
        <row r="119">
          <cell r="D119" t="str">
            <v>B-ZE Чертеж компоновки, основной и детальный, план сварки и инспекций (см.также ВРЕ)</v>
          </cell>
        </row>
        <row r="120">
          <cell r="D120" t="str">
            <v>B-ZN Чертеж ориентации штуцеров</v>
          </cell>
        </row>
        <row r="121">
          <cell r="D121" t="str">
            <v>B-ZT Схема транспортировки</v>
          </cell>
        </row>
        <row r="122">
          <cell r="D122" t="str">
            <v>C Строительство</v>
          </cell>
        </row>
        <row r="123">
          <cell r="D123" t="str">
            <v>C-CA Общий расчет</v>
          </cell>
        </row>
        <row r="124">
          <cell r="D124" t="str">
            <v>C-CE Статический расчет</v>
          </cell>
        </row>
        <row r="125">
          <cell r="D125" t="str">
            <v>C-CS Таблица общестроительных данных</v>
          </cell>
        </row>
        <row r="126">
          <cell r="D126" t="str">
            <v>C-DC Перечень приложений</v>
          </cell>
        </row>
        <row r="127">
          <cell r="D127" t="str">
            <v>C-GJ Перечень анкерных болтов</v>
          </cell>
        </row>
        <row r="128">
          <cell r="D128" t="str">
            <v>C-LA Перечень чертежей. Перечень документов, Содержание</v>
          </cell>
        </row>
        <row r="129">
          <cell r="D129" t="str">
            <v>C-LD Перечень общестроительных частей</v>
          </cell>
        </row>
        <row r="130">
          <cell r="D130" t="str">
            <v>C-LP Перечень отгиба стержней</v>
          </cell>
        </row>
        <row r="131">
          <cell r="D131" t="str">
            <v>C-LR Перечень поставщиков</v>
          </cell>
        </row>
        <row r="132">
          <cell r="D132" t="str">
            <v>C-LV Руководство по эксплуатации</v>
          </cell>
        </row>
        <row r="133">
          <cell r="D133" t="str">
            <v>C-MM Заявка на размещение заказа в главном календарном графике</v>
          </cell>
        </row>
        <row r="134">
          <cell r="D134" t="str">
            <v>C-OR Процедуры, инструкции по общестроительным работам</v>
          </cell>
        </row>
        <row r="135">
          <cell r="D135" t="str">
            <v>C-PE Акт приемки</v>
          </cell>
        </row>
        <row r="136">
          <cell r="D136" t="str">
            <v>C-QA Отчет о несоотвествии техническим условиям</v>
          </cell>
        </row>
        <row r="137">
          <cell r="D137" t="str">
            <v>C-RF Акт замены материала</v>
          </cell>
        </row>
        <row r="138">
          <cell r="D138" t="str">
            <v>C-RW Технические требования на проектирование строительных конструкций и строительные работы, Приглашение к участию в тендере на выполнение общестроительных работ, Ведомость отделки помещений, Титульный лист технической спецификации</v>
          </cell>
        </row>
        <row r="139">
          <cell r="D139" t="str">
            <v xml:space="preserve">C-SD </v>
          </cell>
        </row>
        <row r="140">
          <cell r="D140" t="str">
            <v>C-SS Специальная проектная спецификация</v>
          </cell>
        </row>
        <row r="141">
          <cell r="D141" t="str">
            <v>C-SY Объем работы</v>
          </cell>
        </row>
        <row r="142">
          <cell r="D142" t="str">
            <v>C-TT Временной график</v>
          </cell>
        </row>
        <row r="143">
          <cell r="D143" t="str">
            <v>C-XX Лист технических данных поставщика</v>
          </cell>
        </row>
        <row r="144">
          <cell r="D144" t="str">
            <v>C-ZA Полевая схема расположения, схема общего расположения, общий генплан, план установки (вид сверху, разрез, включая строительный концептуальный проект)</v>
          </cell>
        </row>
        <row r="145">
          <cell r="D145" t="str">
            <v>C-ZB Общая схема расположения фундаментов, базовый проект, план существующих объектов, план фундаментов</v>
          </cell>
        </row>
        <row r="146">
          <cell r="D146" t="str">
            <v>C-ZC Кабельная траншея</v>
          </cell>
        </row>
        <row r="147">
          <cell r="D147" t="str">
            <v>C-ZD Чертеж  армирования</v>
          </cell>
        </row>
        <row r="148">
          <cell r="D148" t="str">
            <v>C-ZE Чертеж канализационной системы</v>
          </cell>
        </row>
        <row r="149">
          <cell r="D149" t="str">
            <v xml:space="preserve">C-ZF Чертеж опалубок </v>
          </cell>
        </row>
        <row r="150">
          <cell r="D150" t="str">
            <v>C-ZG Архитектурный чертеж</v>
          </cell>
        </row>
        <row r="151">
          <cell r="D151" t="str">
            <v>C-ZH Чертеж отделки зданий</v>
          </cell>
        </row>
        <row r="152">
          <cell r="D152" t="str">
            <v>C-ZJ Чертеж специальной строительной конструкции/бетонных конструкций</v>
          </cell>
        </row>
        <row r="153">
          <cell r="D153" t="str">
            <v>C-ZK Чертеж трубопроводной эстакады и армирования конструкций</v>
          </cell>
        </row>
        <row r="154">
          <cell r="D154" t="str">
            <v>C-ZR Чертежи дорог и мощения</v>
          </cell>
        </row>
        <row r="155">
          <cell r="D155" t="str">
            <v>C-ZS Чертеж опалубок и бетонных конструкций</v>
          </cell>
        </row>
        <row r="156">
          <cell r="D156" t="str">
            <v>C-ZT Чертеж  армированияетонных конструкций</v>
          </cell>
        </row>
        <row r="157">
          <cell r="D157" t="str">
            <v>D Информационные технологии</v>
          </cell>
        </row>
        <row r="158">
          <cell r="D158" t="str">
            <v>D-CA Схема</v>
          </cell>
        </row>
        <row r="159">
          <cell r="D159" t="str">
            <v>D-CC Калькуляция затрат</v>
          </cell>
        </row>
        <row r="160">
          <cell r="D160" t="str">
            <v>D-CS Договор о сервисном обслуживании</v>
          </cell>
        </row>
        <row r="161">
          <cell r="D161" t="str">
            <v>D-DC Описание изменения</v>
          </cell>
        </row>
        <row r="162">
          <cell r="D162" t="str">
            <v>D-DP Описание продуктов</v>
          </cell>
        </row>
        <row r="163">
          <cell r="D163" t="str">
            <v>D-Fl Блок-схема потоков информации</v>
          </cell>
        </row>
        <row r="164">
          <cell r="D164" t="str">
            <v>D-FP Блок-схема программы</v>
          </cell>
        </row>
        <row r="165">
          <cell r="D165" t="str">
            <v>D-FW Схема документооборота</v>
          </cell>
        </row>
        <row r="166">
          <cell r="D166" t="str">
            <v>D-GE Перечень приложений</v>
          </cell>
        </row>
        <row r="167">
          <cell r="D167" t="str">
            <v>D-LC Перечень программного обеспечения</v>
          </cell>
        </row>
        <row r="168">
          <cell r="D168" t="str">
            <v>D-LD Перечень чертежей, Перечень документов, Перечень содержания</v>
          </cell>
        </row>
        <row r="169">
          <cell r="D169" t="str">
            <v>D-LP Перечень систем обработки данных</v>
          </cell>
        </row>
        <row r="170">
          <cell r="D170" t="str">
            <v>D-LV Перечень поставщиков</v>
          </cell>
        </row>
        <row r="171">
          <cell r="D171" t="str">
            <v>D-MM Руководство по эксплуатации</v>
          </cell>
        </row>
        <row r="172">
          <cell r="D172" t="str">
            <v>D-MU Руководство пользователя</v>
          </cell>
        </row>
        <row r="173">
          <cell r="D173" t="str">
            <v>D-NC Сопроводительная записка</v>
          </cell>
        </row>
        <row r="174">
          <cell r="D174" t="str">
            <v>D-OR Заявка на размещение заказа в главном календарном графике</v>
          </cell>
        </row>
        <row r="175">
          <cell r="D175" t="str">
            <v>D-PE Процедура, инструкция по эксплуатации</v>
          </cell>
        </row>
        <row r="176">
          <cell r="D176" t="str">
            <v>D-PI Руководство по монтажу</v>
          </cell>
        </row>
        <row r="177">
          <cell r="D177" t="str">
            <v>D-PP План проекта</v>
          </cell>
        </row>
        <row r="178">
          <cell r="D178" t="str">
            <v>D-QA Акт приемки</v>
          </cell>
        </row>
        <row r="179">
          <cell r="D179" t="str">
            <v>D-RA Приемо-сдаточный акт</v>
          </cell>
        </row>
        <row r="180">
          <cell r="D180" t="str">
            <v>D-RC Отчет по затратам</v>
          </cell>
        </row>
        <row r="181">
          <cell r="D181" t="str">
            <v>D-RF Отчет о несоотвествии техническим условиям</v>
          </cell>
        </row>
        <row r="182">
          <cell r="D182" t="str">
            <v>D-RP Отчет о ходе реализации проекта</v>
          </cell>
        </row>
        <row r="183">
          <cell r="D183" t="str">
            <v>D-RR отчет об исследовании</v>
          </cell>
        </row>
        <row r="184">
          <cell r="D184" t="str">
            <v xml:space="preserve">D-RS Акт обслуживания </v>
          </cell>
        </row>
        <row r="185">
          <cell r="D185" t="str">
            <v>D-RT Журнал испытаний и проверок</v>
          </cell>
        </row>
        <row r="186">
          <cell r="D186" t="str">
            <v>D-SC Техническое задание</v>
          </cell>
        </row>
        <row r="187">
          <cell r="D187" t="str">
            <v>D-SD Проектная спецификация</v>
          </cell>
        </row>
        <row r="188">
          <cell r="D188" t="str">
            <v>D-SR Подробное техническое задание</v>
          </cell>
        </row>
        <row r="189">
          <cell r="D189" t="str">
            <v>D-TR График проведения ислледования</v>
          </cell>
        </row>
        <row r="190">
          <cell r="D190" t="str">
            <v>D-SS Спецификация системы</v>
          </cell>
        </row>
        <row r="191">
          <cell r="D191" t="str">
            <v>D-ST Концепция обучения</v>
          </cell>
        </row>
        <row r="192">
          <cell r="D192" t="str">
            <v>D-TT Временной график</v>
          </cell>
        </row>
        <row r="193">
          <cell r="D193" t="str">
            <v>D-XX Лист технических данных поставщика</v>
          </cell>
        </row>
        <row r="194">
          <cell r="D194" t="str">
            <v>D-ZD Лист технических данных поставщика</v>
          </cell>
        </row>
        <row r="195">
          <cell r="D195" t="str">
            <v>D-ZP Структурная схема программы</v>
          </cell>
        </row>
        <row r="196">
          <cell r="D196" t="str">
            <v>E Электрооборудование</v>
          </cell>
        </row>
        <row r="197">
          <cell r="D197" t="str">
            <v>E-CA Схема</v>
          </cell>
        </row>
        <row r="198">
          <cell r="D198" t="str">
            <v>E-CE Проектный расчет</v>
          </cell>
        </row>
        <row r="199">
          <cell r="D199" t="str">
            <v>E-DE Лист технических данных оборудования</v>
          </cell>
        </row>
        <row r="200">
          <cell r="D200" t="str">
            <v>E-GE Перечень вспомогательных деталей оборудования и систем</v>
          </cell>
        </row>
        <row r="201">
          <cell r="D201" t="str">
            <v>E-LA Перечень сигналов / аварийных сигналов</v>
          </cell>
        </row>
        <row r="202">
          <cell r="D202" t="str">
            <v>E-LB Перечень материалов / материалов насыпью</v>
          </cell>
        </row>
        <row r="203">
          <cell r="D203" t="str">
            <v>E-LC Кабельный журнал</v>
          </cell>
        </row>
        <row r="204">
          <cell r="D204" t="str">
            <v>E-LD Перечень чертежей, Перечень документов, Перечень содержания</v>
          </cell>
        </row>
        <row r="205">
          <cell r="D205" t="str">
            <v>E-LE Перечень электрооборудования</v>
          </cell>
        </row>
        <row r="206">
          <cell r="D206" t="str">
            <v>E-LG Перечень взрывозащищенного оборудования</v>
          </cell>
        </row>
        <row r="207">
          <cell r="D207" t="str">
            <v>E-LH Перечень электроспутников</v>
          </cell>
        </row>
        <row r="208">
          <cell r="D208" t="str">
            <v>E-LL Перечень потребителей электроэнергии, перечень потребителей для вспомогательного оборудования</v>
          </cell>
        </row>
        <row r="209">
          <cell r="D209" t="str">
            <v>E-LM Перечень моторов</v>
          </cell>
        </row>
        <row r="210">
          <cell r="D210" t="str">
            <v>E-LP Список запасных частей (электрооборудование)</v>
          </cell>
        </row>
        <row r="211">
          <cell r="D211" t="str">
            <v>E-LR Перечень устройств дистанционного управления</v>
          </cell>
        </row>
        <row r="212">
          <cell r="D212" t="str">
            <v>E-LS Перечень специальных инструментов</v>
          </cell>
        </row>
        <row r="213">
          <cell r="D213" t="str">
            <v>E-LT Перечень терминалов</v>
          </cell>
        </row>
        <row r="214">
          <cell r="D214" t="str">
            <v>E-LV Перечень поставщиков</v>
          </cell>
        </row>
        <row r="215">
          <cell r="D215" t="str">
            <v>E-LY Перечень запчастей</v>
          </cell>
        </row>
        <row r="216">
          <cell r="D216" t="str">
            <v>E-ME Руководство по эксплуатации, электрооборудование</v>
          </cell>
        </row>
        <row r="217">
          <cell r="D217" t="str">
            <v>E-OR Заявка на размещение заказа в главном календарном графике</v>
          </cell>
        </row>
        <row r="218">
          <cell r="D218" t="str">
            <v>E-QA Акты приемки</v>
          </cell>
        </row>
        <row r="219">
          <cell r="D219" t="str">
            <v>E-QD Условия поставки</v>
          </cell>
        </row>
        <row r="220">
          <cell r="D220" t="str">
            <v>E-QP Процедура, инструкция по эксплуатации</v>
          </cell>
        </row>
        <row r="221">
          <cell r="D221" t="str">
            <v>E-RF Отчет об отказе</v>
          </cell>
        </row>
        <row r="222">
          <cell r="D222" t="str">
            <v>E-RT Протокол испытания</v>
          </cell>
        </row>
        <row r="223">
          <cell r="D223" t="str">
            <v>E-SP Специальная проектная спецификация</v>
          </cell>
        </row>
        <row r="224">
          <cell r="D224" t="str">
            <v>E-S Стандартная спецификация</v>
          </cell>
        </row>
        <row r="225">
          <cell r="D225" t="str">
            <v>E-ST Условия поставки</v>
          </cell>
        </row>
        <row r="226">
          <cell r="D226" t="str">
            <v>E-TT Временной график</v>
          </cell>
        </row>
        <row r="227">
          <cell r="D227" t="str">
            <v>E-XX Лист технических данных поставщика</v>
          </cell>
        </row>
        <row r="228">
          <cell r="D228" t="str">
            <v>E-ZA План расположения и компоновка силового оборудования, план кабельных трасс</v>
          </cell>
        </row>
        <row r="229">
          <cell r="D229" t="str">
            <v>E-ZB Требования к строительным/стальным конструкциям</v>
          </cell>
        </row>
        <row r="230">
          <cell r="D230" t="str">
            <v>E-ZC План расположения и компоновка заземления и молниезащиты</v>
          </cell>
        </row>
        <row r="231">
          <cell r="D231" t="str">
            <v>E-ZD План расположения и компоновка освещения и выводов розеток</v>
          </cell>
        </row>
        <row r="232">
          <cell r="D232" t="str">
            <v>E-ZE План расположения и компоновка систем электрообогрева</v>
          </cell>
        </row>
        <row r="233">
          <cell r="D233" t="str">
            <v>E-ZF План расположения и компоновка системы пожарной сигнализации и телекоммуникации</v>
          </cell>
        </row>
        <row r="234">
          <cell r="D234" t="str">
            <v>E-ZG План расположения и компоновка системы катодной защиты</v>
          </cell>
        </row>
        <row r="235">
          <cell r="D235" t="str">
            <v>E-ZH Габаритный и сборочный чертеж</v>
          </cell>
        </row>
        <row r="236">
          <cell r="D236" t="str">
            <v>E-Zl Однолинейная схема</v>
          </cell>
        </row>
        <row r="237">
          <cell r="D237" t="str">
            <v>E-ZK Электрические схемы и схемы межсоединений</v>
          </cell>
        </row>
        <row r="238">
          <cell r="D238" t="str">
            <v>E-ZL Стандартная электрическая схема</v>
          </cell>
        </row>
        <row r="239">
          <cell r="D239" t="str">
            <v>E-ZS Схема расположения системы.система пожарной сигнализации и телекоммуникации</v>
          </cell>
        </row>
        <row r="240">
          <cell r="D240" t="str">
            <v>E-ZV Функциональная схема системы логики и управления</v>
          </cell>
        </row>
        <row r="241">
          <cell r="D241" t="str">
            <v>E-ZW Чертеж компоновки щита управления и монтажная схема</v>
          </cell>
        </row>
        <row r="242">
          <cell r="D242" t="str">
            <v>H ОВКВ (обогрев, вентиляция, кондиционирование воздуха)</v>
          </cell>
        </row>
        <row r="243">
          <cell r="D243" t="str">
            <v>H-CE Таблица расчетов</v>
          </cell>
        </row>
        <row r="244">
          <cell r="D244" t="str">
            <v>H-CN Техническая часть контракта</v>
          </cell>
        </row>
        <row r="245">
          <cell r="D245" t="str">
            <v>H-DE Спецификация на основное оборудование</v>
          </cell>
        </row>
        <row r="246">
          <cell r="D246" t="str">
            <v>H-DU Перечень потребителей электроэнергии</v>
          </cell>
        </row>
        <row r="247">
          <cell r="D247" t="str">
            <v>H-FD Принципиальная схема притока воздуха</v>
          </cell>
        </row>
        <row r="248">
          <cell r="D248" t="str">
            <v>H-FF Однолинейная схема, типовые схемы</v>
          </cell>
        </row>
        <row r="249">
          <cell r="D249" t="str">
            <v>H-Kl Смета расходов</v>
          </cell>
        </row>
        <row r="250">
          <cell r="D250" t="str">
            <v>H-LD Перечень документов</v>
          </cell>
        </row>
        <row r="251">
          <cell r="D251" t="str">
            <v>H-LG Перечень точек привязки, перечень контрольных точек, перечень приводов</v>
          </cell>
        </row>
        <row r="252">
          <cell r="D252" t="str">
            <v>H-LL Перечень оборудования</v>
          </cell>
        </row>
        <row r="253">
          <cell r="D253" t="str">
            <v>H-LR Перечень пунктов обмена сред</v>
          </cell>
        </row>
        <row r="254">
          <cell r="D254" t="str">
            <v>H-LU Перечень потребляемых сред</v>
          </cell>
        </row>
        <row r="255">
          <cell r="D255" t="str">
            <v>H-LV Перечень предпочтительных поставщиков</v>
          </cell>
        </row>
        <row r="256">
          <cell r="D256" t="str">
            <v>H-MD Инструкция по эксплуатации, Описание системы, Утвержденные требования использования</v>
          </cell>
        </row>
        <row r="257">
          <cell r="D257" t="str">
            <v>H-SD Техническая часть перечня помещений</v>
          </cell>
        </row>
        <row r="258">
          <cell r="D258" t="str">
            <v>H-SG Концепция систем измерения и контроля</v>
          </cell>
        </row>
        <row r="259">
          <cell r="D259" t="str">
            <v>H-SY Спецификация, перечень объемов</v>
          </cell>
        </row>
        <row r="260">
          <cell r="D260" t="str">
            <v>H-TE Требование обеспечения документацией</v>
          </cell>
        </row>
        <row r="261">
          <cell r="D261" t="str">
            <v>H-TT Временной график для строительства</v>
          </cell>
        </row>
        <row r="262">
          <cell r="D262" t="str">
            <v>H-ZA План зонирования приточно-вытяжной установки, план объекта с указанием точек забора - точек выброса</v>
          </cell>
        </row>
        <row r="263">
          <cell r="D263" t="str">
            <v>H-ZD Проект конфигурации приточно-вытяжной установки</v>
          </cell>
        </row>
        <row r="264">
          <cell r="D264" t="str">
            <v>H-ZP Блочное расположение приточно-вытяжной установки и основные трассы воздуховодов, план основных проемов и нагрузок, план расположения основного воздуховода/трубопроводов приточно-вытяжной установки, секции и критические точки</v>
          </cell>
        </row>
        <row r="265">
          <cell r="D265" t="str">
            <v>H-ZQ План зонирования по давлению</v>
          </cell>
        </row>
        <row r="266">
          <cell r="D266" t="str">
            <v>H-ZU План шумоизлучения</v>
          </cell>
        </row>
        <row r="267">
          <cell r="D267" t="str">
            <v>J КИП</v>
          </cell>
        </row>
        <row r="268">
          <cell r="D268" t="str">
            <v>J-CA Схема</v>
          </cell>
        </row>
        <row r="269">
          <cell r="D269" t="str">
            <v>J-CE Расчет погрешности контура измерения</v>
          </cell>
        </row>
        <row r="270">
          <cell r="D270" t="str">
            <v>J-CF Расчет измерительных диафрагм</v>
          </cell>
        </row>
        <row r="271">
          <cell r="D271" t="str">
            <v>J-CK Расчет КИП, тепло/энергоносителей, испытания на месте установки и эксплуатационные испытания</v>
          </cell>
        </row>
        <row r="272">
          <cell r="D272" t="str">
            <v>J-CV Расчетная таблица регулирующей арматуры</v>
          </cell>
        </row>
        <row r="273">
          <cell r="D273" t="str">
            <v>J-CX Сертификаты на взрывозащиту, расчет искробезопасных контуров</v>
          </cell>
        </row>
        <row r="274">
          <cell r="D274" t="str">
            <v>J-DB Лист техданных щитовых измерительных приборов</v>
          </cell>
        </row>
        <row r="275">
          <cell r="D275" t="str">
            <v>J-DC Листок техданных по конфигурации</v>
          </cell>
        </row>
        <row r="276">
          <cell r="D276" t="str">
            <v>J-DD Листок техданных на прибор измерения плотности</v>
          </cell>
        </row>
        <row r="277">
          <cell r="D277" t="str">
            <v>J-DF Листок техданных на прибор измерения расхода</v>
          </cell>
        </row>
        <row r="278">
          <cell r="D278" t="str">
            <v>J-DG Листок техданных на  детектор газа, дыма, инфракрасного излучения</v>
          </cell>
        </row>
        <row r="279">
          <cell r="D279" t="str">
            <v>J-DL Листок техданных на прибор измерения уровня</v>
          </cell>
        </row>
        <row r="280">
          <cell r="D280" t="str">
            <v>J-DM Листок техданных на монтажный материал</v>
          </cell>
        </row>
        <row r="281">
          <cell r="D281" t="str">
            <v>J-DP Листок техданных на прибор измерения давления</v>
          </cell>
        </row>
        <row r="282">
          <cell r="D282" t="str">
            <v>J-DQ Листок техданных на анализатор</v>
          </cell>
        </row>
        <row r="283">
          <cell r="D283" t="str">
            <v>J-DT Листок техданных на прибор измерения температуры</v>
          </cell>
        </row>
        <row r="284">
          <cell r="D284" t="str">
            <v>J-DV Листок техданных на регулирующие и переключающие клапаны</v>
          </cell>
        </row>
        <row r="285">
          <cell r="D285" t="str">
            <v>J-DX Листок техданных на специальные приборы</v>
          </cell>
        </row>
        <row r="286">
          <cell r="D286" t="str">
            <v>J-DY Листок техданных на соленоидный клапан</v>
          </cell>
        </row>
        <row r="287">
          <cell r="D287" t="str">
            <v>J-DZ Листок техданных на преобразователь сигналов</v>
          </cell>
        </row>
        <row r="288">
          <cell r="D288" t="str">
            <v>J-GA Перечень реквизитов</v>
          </cell>
        </row>
        <row r="289">
          <cell r="D289" t="str">
            <v>J-GE Перечень вспомогательных деталей</v>
          </cell>
        </row>
        <row r="290">
          <cell r="D290" t="str">
            <v>J-LA Перечень аварийных сигналов</v>
          </cell>
        </row>
        <row r="291">
          <cell r="D291" t="str">
            <v>J-LB основная спецификация на точки измерения</v>
          </cell>
        </row>
        <row r="292">
          <cell r="D292" t="str">
            <v>J-LC Кабельный журнал, перечень трубопроводов</v>
          </cell>
        </row>
        <row r="293">
          <cell r="D293" t="str">
            <v>J-LD Перечень чертежей, Перечень документов, Перечень содержания</v>
          </cell>
        </row>
        <row r="294">
          <cell r="D294" t="str">
            <v xml:space="preserve">J-LE Перечень передачи сигналов MSR/ETA </v>
          </cell>
        </row>
        <row r="295">
          <cell r="D295" t="str">
            <v>J-LF Перечень терминалов и консолей ПЭВМ</v>
          </cell>
        </row>
        <row r="296">
          <cell r="D296" t="str">
            <v>J-LG Список индексов контрольных точек</v>
          </cell>
        </row>
        <row r="297">
          <cell r="D297" t="str">
            <v>J-LH Перечень сигнало ввода/вывода с/в РСУ</v>
          </cell>
        </row>
        <row r="298">
          <cell r="D298" t="str">
            <v>J-LJ Перечень контрольно-измерительных приборов</v>
          </cell>
        </row>
        <row r="299">
          <cell r="D299" t="str">
            <v>J-LK Перечень координат</v>
          </cell>
        </row>
        <row r="300">
          <cell r="D300" t="str">
            <v>J-LL Перечень колодок с зажимами и соединительных коробок</v>
          </cell>
        </row>
        <row r="301">
          <cell r="D301" t="str">
            <v>J-LM Перечень монтажных материалов насыпью</v>
          </cell>
        </row>
        <row r="302">
          <cell r="D302" t="str">
            <v>J-LN Перечень паспортных табличек</v>
          </cell>
        </row>
        <row r="303">
          <cell r="D303" t="str">
            <v>J-LO Конфигурация групп для обзора в РСУ</v>
          </cell>
        </row>
        <row r="304">
          <cell r="D304" t="str">
            <v>J-LP Перечень деталей</v>
          </cell>
        </row>
        <row r="305">
          <cell r="D305" t="str">
            <v>J-LR Перечень регулирующей арматуры для холодильной установки</v>
          </cell>
        </row>
        <row r="306">
          <cell r="D306" t="str">
            <v>J-LS Документация по программному обеспечению</v>
          </cell>
        </row>
        <row r="307">
          <cell r="D307" t="str">
            <v>J-LT Перечень монтажа</v>
          </cell>
        </row>
        <row r="308">
          <cell r="D308" t="str">
            <v>J-LV Перечень поставщиков</v>
          </cell>
        </row>
        <row r="309">
          <cell r="D309" t="str">
            <v>J-LW Указатель окончательной документации</v>
          </cell>
        </row>
        <row r="310">
          <cell r="D310" t="str">
            <v>J-LX Перечень типовых схем контуров с взрывозащитой</v>
          </cell>
        </row>
        <row r="311">
          <cell r="D311" t="str">
            <v>J-LY Перечень запчастей</v>
          </cell>
        </row>
        <row r="312">
          <cell r="D312" t="str">
            <v>J-LZ Перечень потребителей тепло/энергоресурсов</v>
          </cell>
        </row>
        <row r="313">
          <cell r="D313" t="str">
            <v>J-MM Руководство по эксплуатации</v>
          </cell>
        </row>
        <row r="314">
          <cell r="D314" t="str">
            <v>J-MS Руководство по эксплуатации поставщика</v>
          </cell>
        </row>
        <row r="315">
          <cell r="D315" t="str">
            <v>J-OR Заявка на размещение заказа в главном календарном графике</v>
          </cell>
        </row>
        <row r="316">
          <cell r="D316" t="str">
            <v>J-PE Процедура, инструкция по эксплуатации</v>
          </cell>
        </row>
        <row r="317">
          <cell r="D317" t="str">
            <v>J-QA Акт приемки</v>
          </cell>
        </row>
        <row r="318">
          <cell r="D318" t="str">
            <v>J-RF Отчет о несоотвествии техническим условиям</v>
          </cell>
        </row>
        <row r="319">
          <cell r="D319" t="str">
            <v>J-RL Журнал учета</v>
          </cell>
        </row>
        <row r="320">
          <cell r="D320" t="str">
            <v>J-RT Протокол испытания</v>
          </cell>
        </row>
        <row r="321">
          <cell r="D321" t="str">
            <v>J-RW Акт замены материала</v>
          </cell>
        </row>
        <row r="322">
          <cell r="D322" t="str">
            <v>J-SD Спецификация на контрольно-измерительный прибор</v>
          </cell>
        </row>
        <row r="323">
          <cell r="D323" t="str">
            <v>J-SF Спецификация на щиты, приборные стойки, шкафы</v>
          </cell>
        </row>
        <row r="324">
          <cell r="D324" t="str">
            <v>J-SG Рабочее задание, основные требования</v>
          </cell>
        </row>
        <row r="325">
          <cell r="D325" t="str">
            <v>J-SH Спецификация на различные позиции</v>
          </cell>
        </row>
        <row r="326">
          <cell r="D326" t="str">
            <v>J-SJ Описание связанных контуров управления</v>
          </cell>
        </row>
        <row r="327">
          <cell r="D327" t="str">
            <v>J-SK Спецификация на кабели</v>
          </cell>
        </row>
        <row r="328">
          <cell r="D328" t="str">
            <v>J-SL График монтажных работ</v>
          </cell>
        </row>
        <row r="329">
          <cell r="D329" t="str">
            <v>J-SM Спецификация на монтаж КИП</v>
          </cell>
        </row>
        <row r="330">
          <cell r="D330" t="str">
            <v>J-SO Спецификация на материалы насыпью</v>
          </cell>
        </row>
        <row r="331">
          <cell r="D331" t="str">
            <v>J-SP Рабочее задание на КИП</v>
          </cell>
        </row>
        <row r="332">
          <cell r="D332" t="str">
            <v>J-SQ Спецификация по обеспечению контроля качества</v>
          </cell>
        </row>
        <row r="333">
          <cell r="D333" t="str">
            <v>J-SS Спецификация систем измерения, управления</v>
          </cell>
        </row>
        <row r="334">
          <cell r="D334" t="str">
            <v>J-ST Условия поставки</v>
          </cell>
        </row>
        <row r="335">
          <cell r="D335" t="str">
            <v>J-SY Общее описание</v>
          </cell>
        </row>
        <row r="336">
          <cell r="D336" t="str">
            <v>J-TJ Временной график для инспекций</v>
          </cell>
        </row>
        <row r="337">
          <cell r="D337" t="str">
            <v>J-TT Временной график</v>
          </cell>
        </row>
        <row r="338">
          <cell r="D338" t="str">
            <v>J-TZ Временной график для обслуживани</v>
          </cell>
        </row>
        <row r="339">
          <cell r="D339" t="str">
            <v>J-XX Лист технических данных поставщика</v>
          </cell>
        </row>
        <row r="340">
          <cell r="D340" t="str">
            <v xml:space="preserve">J-ZA План расположения полевых КИП, соединительных коробок,  подачи воздуха и кабельных лотков </v>
          </cell>
        </row>
        <row r="341">
          <cell r="D341" t="str">
            <v>J-ZB Схема кабельных соединений</v>
          </cell>
        </row>
        <row r="342">
          <cell r="D342" t="str">
            <v>J-ZC Механическая конструкция шкафов</v>
          </cell>
        </row>
        <row r="343">
          <cell r="D343" t="str">
            <v>J-ZD Проект компоновки панели управления</v>
          </cell>
        </row>
        <row r="344">
          <cell r="D344" t="str">
            <v>J-ZE Развернутая многоступенчатая схема</v>
          </cell>
        </row>
        <row r="345">
          <cell r="D345" t="str">
            <v>J-ZF Логическая схема, схема последовательности операций, список программ</v>
          </cell>
        </row>
        <row r="346">
          <cell r="D346" t="str">
            <v>J-ZG Детальный чертеж консолей / Опор</v>
          </cell>
        </row>
        <row r="347">
          <cell r="D347" t="str">
            <v>J-ZH Подключения</v>
          </cell>
        </row>
        <row r="348">
          <cell r="D348" t="str">
            <v>J-ZJ Полевые соединительные коробки</v>
          </cell>
        </row>
        <row r="349">
          <cell r="D349" t="str">
            <v>J-7K Схема клеммовых соединений</v>
          </cell>
        </row>
        <row r="350">
          <cell r="D350" t="str">
            <v>J-ZL Контурные схемы</v>
          </cell>
        </row>
        <row r="351">
          <cell r="D351" t="str">
            <v>J-ZM Детальные чертежи щитов, приборных стойек, шкафов</v>
          </cell>
        </row>
        <row r="352">
          <cell r="D352" t="str">
            <v>J-ZO Разбивочный план операторной, вспомогательных помещений</v>
          </cell>
        </row>
        <row r="353">
          <cell r="D353" t="str">
            <v>J-ZR Чертеж с размерами</v>
          </cell>
        </row>
        <row r="354">
          <cell r="D354" t="str">
            <v>J-ZS Принципиальная технологическая схема для отображения на дисплее РСУ</v>
          </cell>
        </row>
        <row r="355">
          <cell r="D355" t="str">
            <v>J-ZT Схема соединений воздушного коллектора</v>
          </cell>
        </row>
        <row r="356">
          <cell r="D356" t="str">
            <v>J-ZU Схема соединений заземления / экранирования</v>
          </cell>
        </row>
        <row r="357">
          <cell r="D357" t="str">
            <v>J-ZV Монтажная схема внутренних соединений панелей и шкафов</v>
          </cell>
        </row>
        <row r="358">
          <cell r="D358" t="str">
            <v>J-ZW Монтажная схема</v>
          </cell>
        </row>
        <row r="359">
          <cell r="D359" t="str">
            <v>J-ZX Эскиз</v>
          </cell>
        </row>
        <row r="360">
          <cell r="D360" t="str">
            <v>J-ZY Процедура калибровки</v>
          </cell>
        </row>
        <row r="361">
          <cell r="D361" t="str">
            <v>K Коммерция и снабжение</v>
          </cell>
        </row>
        <row r="362">
          <cell r="D362" t="str">
            <v>K-AB Подтверждение заказа</v>
          </cell>
        </row>
        <row r="363">
          <cell r="D363" t="str">
            <v>K-BA закупка, запрос</v>
          </cell>
        </row>
        <row r="364">
          <cell r="D364" t="str">
            <v>K-BB Закупка, заказ</v>
          </cell>
        </row>
        <row r="365">
          <cell r="D365" t="str">
            <v>K-CN Протокол коммерческого размещения заказа</v>
          </cell>
        </row>
        <row r="366">
          <cell r="D366" t="str">
            <v>K-GE Перечень приложений</v>
          </cell>
        </row>
        <row r="367">
          <cell r="D367" t="str">
            <v>K-LB Перечень закупок</v>
          </cell>
        </row>
        <row r="368">
          <cell r="D368" t="str">
            <v>K-LV Перечень поставщиков</v>
          </cell>
        </row>
        <row r="369">
          <cell r="D369" t="str">
            <v>K-PC Процедура координации</v>
          </cell>
        </row>
        <row r="370">
          <cell r="D370" t="str">
            <v>K-PE Инструкция о выполнении работы</v>
          </cell>
        </row>
        <row r="371">
          <cell r="D371" t="str">
            <v>K-QA Акт приемки</v>
          </cell>
        </row>
        <row r="372">
          <cell r="D372" t="str">
            <v>K-RB Отчет</v>
          </cell>
        </row>
        <row r="373">
          <cell r="D373" t="str">
            <v>K-RF Отчет о несоотвествии техническим условиям</v>
          </cell>
        </row>
        <row r="374">
          <cell r="D374" t="str">
            <v>K-RW Акт замены материала</v>
          </cell>
        </row>
        <row r="375">
          <cell r="D375" t="str">
            <v>K-SK Вспомогательные позиции для упаковки/маркировки/отгрузки</v>
          </cell>
        </row>
        <row r="376">
          <cell r="D376" t="str">
            <v>K-TB График инспекций</v>
          </cell>
        </row>
        <row r="377">
          <cell r="D377" t="str">
            <v>K-XX Лист технических данных поставщика</v>
          </cell>
        </row>
        <row r="378">
          <cell r="D378" t="str">
            <v>L Проектирование установки и трубопроводов</v>
          </cell>
        </row>
        <row r="379">
          <cell r="D379" t="str">
            <v>L-CE Технические рассчеты</v>
          </cell>
        </row>
        <row r="380">
          <cell r="D380" t="str">
            <v>L-GE Перечень доп. позиций к проекту установки и трубопроводов</v>
          </cell>
        </row>
        <row r="381">
          <cell r="D381" t="str">
            <v>L-GM Перечень доп. позиций к материалам насыпью</v>
          </cell>
        </row>
        <row r="382">
          <cell r="D382" t="str">
            <v>L-LB Перечень границ установки</v>
          </cell>
        </row>
        <row r="383">
          <cell r="D383" t="str">
            <v>L-LD Перечень чертежей, Перечень документов, Перечень содержания</v>
          </cell>
        </row>
        <row r="384">
          <cell r="D384" t="str">
            <v>L-LL Перечень трубопроводов</v>
          </cell>
        </row>
        <row r="385">
          <cell r="D385" t="str">
            <v>L-LM Материалы. Перечень материалов насыпью</v>
          </cell>
        </row>
        <row r="386">
          <cell r="D386" t="str">
            <v>L-LN Маркировочные ярлыки для клапанов и приборов</v>
          </cell>
        </row>
        <row r="387">
          <cell r="D387" t="str">
            <v>L-LP Перечень запчастей</v>
          </cell>
        </row>
        <row r="388">
          <cell r="D388" t="str">
            <v>L-LT Перечень статических нагрузок</v>
          </cell>
        </row>
        <row r="389">
          <cell r="D389" t="str">
            <v>L-PA Процедура, инструкция по эксплуатации</v>
          </cell>
        </row>
        <row r="390">
          <cell r="D390" t="str">
            <v>L-PB Основные расчеты для проектирования трубопроводов</v>
          </cell>
        </row>
        <row r="391">
          <cell r="D391" t="str">
            <v>L-QA Акт приемки</v>
          </cell>
        </row>
        <row r="392">
          <cell r="D392" t="str">
            <v>L-RF Отчет о несоотвествии техническим условиям</v>
          </cell>
        </row>
        <row r="393">
          <cell r="D393" t="str">
            <v xml:space="preserve">L-SG Общая спецификация </v>
          </cell>
        </row>
        <row r="394">
          <cell r="D394" t="str">
            <v>L-XF Изометрические чертежи (IDF файлы)</v>
          </cell>
        </row>
        <row r="395">
          <cell r="D395" t="str">
            <v>L-XX Лист технических данных поставщика</v>
          </cell>
        </row>
        <row r="396">
          <cell r="D396" t="str">
            <v>L-ZA Разводка трубопроводов, компоновочный чертеж</v>
          </cell>
        </row>
        <row r="397">
          <cell r="D397" t="str">
            <v>L-ZB Анализ трубопроводов</v>
          </cell>
        </row>
        <row r="398">
          <cell r="D398" t="str">
            <v>L-ZC Чертежи холодильной камеры (все типы)</v>
          </cell>
        </row>
        <row r="399">
          <cell r="D399" t="str">
            <v>L-ZD Детали</v>
          </cell>
        </row>
        <row r="400">
          <cell r="D400" t="str">
            <v>L-ZF Опора</v>
          </cell>
        </row>
        <row r="401">
          <cell r="D401" t="str">
            <v>L-ZL Изометрические чертежи (PDF), MicroStation-DGN-файлы для отображения изометрики PDF</v>
          </cell>
        </row>
        <row r="402">
          <cell r="D402" t="str">
            <v>L-ZN Чертеж расположения штуцеров</v>
          </cell>
        </row>
        <row r="403">
          <cell r="D403" t="str">
            <v>L-ZP План площадки</v>
          </cell>
        </row>
        <row r="404">
          <cell r="D404" t="str">
            <v>L-ZR План расположения наземных трубопроводов</v>
          </cell>
        </row>
        <row r="405">
          <cell r="D405" t="str">
            <v>L-ZT Схема транспортировки</v>
          </cell>
        </row>
        <row r="406">
          <cell r="D406" t="str">
            <v>L-ZU Схема расположения подземных трубопроводов</v>
          </cell>
        </row>
        <row r="407">
          <cell r="D407" t="str">
            <v xml:space="preserve">L-XF IDF-Files (файлы промежуточных данных) </v>
          </cell>
        </row>
        <row r="408">
          <cell r="D408" t="str">
            <v>M Аппараты</v>
          </cell>
        </row>
        <row r="409">
          <cell r="D409" t="str">
            <v>M-CA Схема</v>
          </cell>
        </row>
        <row r="410">
          <cell r="D410" t="str">
            <v>M-CE Расчет</v>
          </cell>
        </row>
        <row r="411">
          <cell r="D411" t="str">
            <v>M-DE Лист техданных на механизмы</v>
          </cell>
        </row>
        <row r="412">
          <cell r="D412" t="str">
            <v>M-DG Спецификация на смазочные материалы</v>
          </cell>
        </row>
        <row r="413">
          <cell r="D413" t="str">
            <v>M-GE Перечень вспомогательных деталей механизмов</v>
          </cell>
        </row>
        <row r="414">
          <cell r="D414" t="str">
            <v>M-LD Перечень чертежей, Перечень документов, Перечень содержания</v>
          </cell>
        </row>
        <row r="415">
          <cell r="D415" t="str">
            <v>M-LE Перечень оборудования</v>
          </cell>
        </row>
        <row r="416">
          <cell r="D416" t="str">
            <v>M-LP Список запасных частей</v>
          </cell>
        </row>
        <row r="417">
          <cell r="D417" t="str">
            <v>M-LQ План обеспечения качества</v>
          </cell>
        </row>
        <row r="418">
          <cell r="D418" t="str">
            <v>M-LT Перечень специальных инструментов</v>
          </cell>
        </row>
        <row r="419">
          <cell r="D419" t="str">
            <v>M-LV Перечень поставщиков</v>
          </cell>
        </row>
        <row r="420">
          <cell r="D420" t="str">
            <v>M-LY Перечень запчастей</v>
          </cell>
        </row>
        <row r="421">
          <cell r="D421" t="str">
            <v>M-MM Руководство по эксплуатации</v>
          </cell>
        </row>
        <row r="422">
          <cell r="D422" t="str">
            <v>M-OR Заявка на размещение заказа в главном календарном графике</v>
          </cell>
        </row>
        <row r="423">
          <cell r="D423" t="str">
            <v>M-PE Процедура, инструкция по эксплуатации</v>
          </cell>
        </row>
        <row r="424">
          <cell r="D424" t="str">
            <v>M-QA Акт приемки</v>
          </cell>
        </row>
        <row r="425">
          <cell r="D425" t="str">
            <v>M-RF Отчет о несоотвествии техническим условиям</v>
          </cell>
        </row>
        <row r="426">
          <cell r="D426" t="str">
            <v>M-RM Протокол разъяснительного технического совещания</v>
          </cell>
        </row>
        <row r="427">
          <cell r="D427" t="str">
            <v>M-RT Протокол испытания</v>
          </cell>
        </row>
        <row r="428">
          <cell r="D428" t="str">
            <v>MRW Акт замены материала</v>
          </cell>
        </row>
        <row r="429">
          <cell r="D429" t="str">
            <v>M-SD Спецификация на оборудование</v>
          </cell>
        </row>
        <row r="430">
          <cell r="D430" t="str">
            <v>M-SG Общая спецификация по проектированию</v>
          </cell>
        </row>
        <row r="431">
          <cell r="D431" t="str">
            <v>M-SP Стандартная спецификация</v>
          </cell>
        </row>
        <row r="432">
          <cell r="D432" t="str">
            <v>M-SS Специальная проектная спецификация</v>
          </cell>
        </row>
        <row r="433">
          <cell r="D433" t="str">
            <v>M-ST Условие поставки</v>
          </cell>
        </row>
        <row r="434">
          <cell r="D434" t="str">
            <v>M-SY Объем работы</v>
          </cell>
        </row>
        <row r="435">
          <cell r="D435" t="str">
            <v>M-TA Техническая оценка тендерного предложения</v>
          </cell>
        </row>
        <row r="436">
          <cell r="D436" t="str">
            <v>M-TT Временной график</v>
          </cell>
        </row>
        <row r="437">
          <cell r="D437" t="str">
            <v>M-TZ График планово-предупредительного ремонта</v>
          </cell>
        </row>
        <row r="438">
          <cell r="D438" t="str">
            <v>M-XX Лист технических данных поставщика</v>
          </cell>
        </row>
        <row r="439">
          <cell r="D439" t="str">
            <v>M-ZA Схема расположения/компоновки</v>
          </cell>
        </row>
        <row r="440">
          <cell r="D440" t="str">
            <v>M-ZC Чертеж поперечного сечения</v>
          </cell>
        </row>
        <row r="441">
          <cell r="D441" t="str">
            <v>M-ZE Чертеж оборудования</v>
          </cell>
        </row>
        <row r="442">
          <cell r="D442" t="str">
            <v>M-ZT Схема транспортировки</v>
          </cell>
        </row>
        <row r="443">
          <cell r="D443" t="str">
            <v>N Стальные конструкции</v>
          </cell>
        </row>
        <row r="444">
          <cell r="D444" t="str">
            <v>N-CA Схема</v>
          </cell>
        </row>
        <row r="445">
          <cell r="D445" t="str">
            <v>N-CE Расчет</v>
          </cell>
        </row>
        <row r="446">
          <cell r="D446" t="str">
            <v>N-CS Статический расчет</v>
          </cell>
        </row>
        <row r="447">
          <cell r="D447" t="str">
            <v>N-DE Лист техданных на грузоподъемное оборудование</v>
          </cell>
        </row>
        <row r="448">
          <cell r="D448" t="str">
            <v>N-GJ Перечень вспомогательных деталей механизмов</v>
          </cell>
        </row>
        <row r="449">
          <cell r="D449" t="str">
            <v>N-LB Перечень грузоподъемного оборудования</v>
          </cell>
        </row>
        <row r="450">
          <cell r="D450" t="str">
            <v>N-LD Перечень чертежей, Перечень документов, Перечень содержания</v>
          </cell>
        </row>
        <row r="451">
          <cell r="D451" t="str">
            <v>N-LE Перечень конструкций</v>
          </cell>
        </row>
        <row r="452">
          <cell r="D452" t="str">
            <v>N-LP Список запасныъх частей</v>
          </cell>
        </row>
        <row r="453">
          <cell r="D453" t="str">
            <v>N-LV Перечень поставщиков</v>
          </cell>
        </row>
        <row r="454">
          <cell r="D454" t="str">
            <v>N-MM Руководство по эксплуатации</v>
          </cell>
        </row>
        <row r="455">
          <cell r="D455" t="str">
            <v>N-OR Заявка на размещение заказа в главном календарном графике</v>
          </cell>
        </row>
        <row r="456">
          <cell r="D456" t="str">
            <v>N-PE Процедура, инструкция по эксплуатации</v>
          </cell>
        </row>
        <row r="457">
          <cell r="D457" t="str">
            <v>N-QA Акт приемки</v>
          </cell>
        </row>
        <row r="458">
          <cell r="D458" t="str">
            <v>N-RF Отчет о несоотвествии техническим условиям</v>
          </cell>
        </row>
        <row r="459">
          <cell r="D459" t="str">
            <v>N-RW Акт замены материала</v>
          </cell>
        </row>
        <row r="460">
          <cell r="D460" t="str">
            <v>N-SD Проектная спеецификация</v>
          </cell>
        </row>
        <row r="461">
          <cell r="D461" t="str">
            <v>N-SP Стандартная спецификация</v>
          </cell>
        </row>
        <row r="462">
          <cell r="D462" t="str">
            <v>N-SS Специальная проектная спецификация</v>
          </cell>
        </row>
        <row r="463">
          <cell r="D463" t="str">
            <v>N-ST Условие поставки</v>
          </cell>
        </row>
        <row r="464">
          <cell r="D464" t="str">
            <v>N-SY Объем работы</v>
          </cell>
        </row>
        <row r="465">
          <cell r="D465" t="str">
            <v>N-TT Временной график</v>
          </cell>
        </row>
        <row r="466">
          <cell r="D466" t="str">
            <v>N-XX Лист технических данных поставщика</v>
          </cell>
        </row>
        <row r="467">
          <cell r="D467" t="str">
            <v>N-ZA Общий генплан</v>
          </cell>
        </row>
        <row r="468">
          <cell r="D468" t="str">
            <v>N-ZB Схема расположения застройки участка</v>
          </cell>
        </row>
        <row r="469">
          <cell r="D469" t="str">
            <v>N-ZC Схема расположения зданий со стальным каркасом</v>
          </cell>
        </row>
        <row r="470">
          <cell r="D470" t="str">
            <v>N-ZD Схема расположения трубопроводных эстакад</v>
          </cell>
        </row>
        <row r="471">
          <cell r="D471" t="str">
            <v>N-ZE Схема расположения трубопроводных опор</v>
          </cell>
        </row>
        <row r="472">
          <cell r="D472" t="str">
            <v>N-ZF Схема расположения платформ, лестниц</v>
          </cell>
        </row>
        <row r="473">
          <cell r="D473" t="str">
            <v>N-ZG Схема расположения  платформ обслуживания сосудов, не зависящих от ориентации штуцеров</v>
          </cell>
        </row>
        <row r="474">
          <cell r="D474" t="str">
            <v>N-ZH Схема расположения  листовой обшивки, обогрева и вентиляции зданий со стальным каркасом</v>
          </cell>
        </row>
        <row r="475">
          <cell r="D475" t="str">
            <v xml:space="preserve">N-ZJ Рабочий чертеж опор и подвески сосудов </v>
          </cell>
        </row>
        <row r="476">
          <cell r="D476" t="str">
            <v>N-ZK Схема расположения холодильной камеры</v>
          </cell>
        </row>
        <row r="477">
          <cell r="D477" t="str">
            <v>N-ZL Схема расположения трубопроводных опор</v>
          </cell>
        </row>
        <row r="478">
          <cell r="D478" t="str">
            <v>N-ZP Рабочий чертеж застройки участка</v>
          </cell>
        </row>
        <row r="479">
          <cell r="D479" t="str">
            <v>N-ZQ Рабочий чертеж зданий со стальным каркасом</v>
          </cell>
        </row>
        <row r="480">
          <cell r="D480" t="str">
            <v>N-ZR Рабочий чертеж трубопроводных эстакад</v>
          </cell>
        </row>
        <row r="481">
          <cell r="D481" t="str">
            <v>N-ZS Рабочий чертеж трубопроводных опор</v>
          </cell>
        </row>
        <row r="482">
          <cell r="D482" t="str">
            <v>N-ZT Рабочий чертеж платформ, лестниц</v>
          </cell>
        </row>
        <row r="483">
          <cell r="D483" t="str">
            <v>N-ZV Рабочий чертеж холодильной камеры</v>
          </cell>
        </row>
        <row r="484">
          <cell r="D484" t="str">
            <v>N-ZW Холодильная камера. Рабочий чертеж теплоизолированного кожуха</v>
          </cell>
        </row>
        <row r="485">
          <cell r="D485" t="str">
            <v>N-ZX Рабочий чертеж кранов и грузоподъемных механизмов</v>
          </cell>
        </row>
        <row r="486">
          <cell r="D486" t="str">
            <v>N-ZY Рабочий чертеж платформ обслуживания сосудов, включая ориентацию штуцеров</v>
          </cell>
        </row>
        <row r="487">
          <cell r="D487" t="str">
            <v>N-ZZ Рабочий чертеж листовой обшивки, обогрева и вентиляции зданий со стальным каркасом</v>
          </cell>
        </row>
        <row r="488">
          <cell r="D488" t="str">
            <v>P Проектирование техпроцесса, проектирование систем, ПНР</v>
          </cell>
        </row>
        <row r="489">
          <cell r="D489" t="str">
            <v>P-CA Схема</v>
          </cell>
        </row>
        <row r="490">
          <cell r="D490" t="str">
            <v>P-CE Расчеты, материальный баланс, технологические данные</v>
          </cell>
        </row>
        <row r="491">
          <cell r="D491" t="str">
            <v>P-CP Расчет перепадов давления</v>
          </cell>
        </row>
        <row r="492">
          <cell r="D492" t="str">
            <v>P-CS Расчет ограничительных диафрагм</v>
          </cell>
        </row>
        <row r="493">
          <cell r="D493" t="str">
            <v>P-CV Расчет регулирующих клапанов</v>
          </cell>
        </row>
        <row r="494">
          <cell r="D494" t="str">
            <v>P-DA Лист техданнх внутрикорпусных устройств</v>
          </cell>
        </row>
        <row r="495">
          <cell r="D495" t="str">
            <v>P-DE Лист техданных на оборудование</v>
          </cell>
        </row>
        <row r="496">
          <cell r="D496" t="str">
            <v>P-DP Таблица технологических данных</v>
          </cell>
        </row>
        <row r="497">
          <cell r="D497" t="str">
            <v>P-DR Спецификация требований пользователя</v>
          </cell>
        </row>
        <row r="498">
          <cell r="D498" t="str">
            <v>P-DS Лист техданных на вещества</v>
          </cell>
        </row>
        <row r="499">
          <cell r="D499" t="str">
            <v>P-DU Тепло/энергоресурсы и потребление</v>
          </cell>
        </row>
        <row r="500">
          <cell r="D500" t="str">
            <v>P-DV Лист техданных на регулирующие и переключающие клапаны</v>
          </cell>
        </row>
        <row r="501">
          <cell r="D501" t="str">
            <v>P-DZ Таблица технологических данных запчастей</v>
          </cell>
        </row>
        <row r="502">
          <cell r="D502" t="str">
            <v>P-FA Типовые чертежи, указатель чертежей, обозначения и сокращения для принципиальных технологических схем</v>
          </cell>
        </row>
        <row r="503">
          <cell r="D503" t="str">
            <v>P-FB Типовые чертежи, указатель чертежей, обозначения и сокращения для схем разводки трубопроводов и КИП</v>
          </cell>
        </row>
        <row r="504">
          <cell r="D504" t="str">
            <v>P-FD Блок-схема</v>
          </cell>
        </row>
        <row r="505">
          <cell r="D505" t="str">
            <v>P-FE Технологическая схема и схема материального баланса</v>
          </cell>
        </row>
        <row r="506">
          <cell r="D506" t="str">
            <v xml:space="preserve">P-FF Принципиальная технологическая схема </v>
          </cell>
        </row>
        <row r="507">
          <cell r="D507" t="str">
            <v>P-FL Перечень ревизий принципиальной технологической схемы</v>
          </cell>
        </row>
        <row r="508">
          <cell r="D508" t="str">
            <v>P-FP Схема разводки трубопроводов и КИП</v>
          </cell>
        </row>
        <row r="509">
          <cell r="D509" t="str">
            <v>P-FQ Принципиальная технологическая схема для отображения в РСУ</v>
          </cell>
        </row>
        <row r="510">
          <cell r="D510" t="str">
            <v>P-FU Схемы разводки трубопроводов и КИП для инженерных сетей</v>
          </cell>
        </row>
        <row r="511">
          <cell r="D511" t="str">
            <v>P-FV Принципиальная технологическая схема (поставщик)</v>
          </cell>
        </row>
        <row r="512">
          <cell r="D512" t="str">
            <v>P-FW Схемы разводки трубопроводов и КИП (поставщик)</v>
          </cell>
        </row>
        <row r="513">
          <cell r="D513" t="str">
            <v>P-LB Основные технические требования к контрольным точкам</v>
          </cell>
        </row>
        <row r="514">
          <cell r="D514" t="str">
            <v>PLC Перечень позиций системы сигнализации и аварийного отключения</v>
          </cell>
        </row>
        <row r="515">
          <cell r="D515" t="str">
            <v>P-LD Перечень чертежей, Перечень документов, Перечень содержания</v>
          </cell>
        </row>
        <row r="516">
          <cell r="D516" t="str">
            <v>P-LE Перечень трубопроводов</v>
          </cell>
        </row>
        <row r="517">
          <cell r="D517" t="str">
            <v>P-LG Список индексов контрольных точек</v>
          </cell>
        </row>
        <row r="518">
          <cell r="D518" t="str">
            <v>P-LH Перечень шаровых клапанов дроссельного типа и отсечных задвижек</v>
          </cell>
        </row>
        <row r="519">
          <cell r="D519" t="str">
            <v>P-LJ Заданные уставки / описанные в документации эксплуатационные данные</v>
          </cell>
        </row>
        <row r="520">
          <cell r="D520" t="str">
            <v>P-LL Перечень оборудования</v>
          </cell>
        </row>
        <row r="521">
          <cell r="D521" t="str">
            <v>P-LM Перечень технологических сред</v>
          </cell>
        </row>
        <row r="522">
          <cell r="D522" t="str">
            <v>P-LP Документаци по применению устройств контроля технологического процесса</v>
          </cell>
        </row>
        <row r="523">
          <cell r="D523" t="str">
            <v>P-LQ Перечень групп и аварийных сигналов для РСУ</v>
          </cell>
        </row>
        <row r="524">
          <cell r="D524" t="str">
            <v>P-LR Перечень границ установки</v>
          </cell>
        </row>
        <row r="525">
          <cell r="D525" t="str">
            <v>P-LS Перечень гибких трубопроводов</v>
          </cell>
        </row>
        <row r="526">
          <cell r="D526" t="str">
            <v>P-LU Перечень потребления электроэнергии и тепло/энергосредств</v>
          </cell>
        </row>
        <row r="527">
          <cell r="D527" t="str">
            <v>P-LX Перечень соединений на границе проектирования поставщика</v>
          </cell>
        </row>
        <row r="528">
          <cell r="D528" t="str">
            <v>P-MA План анализов, разводка и монтаж точек отбора проб</v>
          </cell>
        </row>
        <row r="529">
          <cell r="D529" t="str">
            <v>P-MB Описание производственного процесса</v>
          </cell>
        </row>
        <row r="530">
          <cell r="D530" t="str">
            <v>P-MC Инструкции по эксплуатации</v>
          </cell>
        </row>
        <row r="531">
          <cell r="D531" t="str">
            <v>P-MD Описание установки</v>
          </cell>
        </row>
        <row r="532">
          <cell r="D532" t="str">
            <v>P-MF Описание основных функций</v>
          </cell>
        </row>
        <row r="533">
          <cell r="D533" t="str">
            <v>P-MG Основное описание экслуатации</v>
          </cell>
        </row>
        <row r="534">
          <cell r="D534" t="str">
            <v>P-MM Руководство по эксплуатации</v>
          </cell>
        </row>
        <row r="535">
          <cell r="D535" t="str">
            <v>P-PE Процедура, инструкция по эксплуатации</v>
          </cell>
        </row>
        <row r="536">
          <cell r="D536" t="str">
            <v>P-PQ План оценки качества / Сводный план</v>
          </cell>
        </row>
        <row r="537">
          <cell r="D537" t="str">
            <v>P-PV Стандартная система операций (SOP), План оценки надежности</v>
          </cell>
        </row>
        <row r="538">
          <cell r="D538" t="str">
            <v>P-QA Акт приемки</v>
          </cell>
        </row>
        <row r="539">
          <cell r="D539" t="str">
            <v>P-RA Протокол испытания</v>
          </cell>
        </row>
        <row r="540">
          <cell r="D540" t="str">
            <v>P-RB Окончательный отчет о прведении ПНР</v>
          </cell>
        </row>
        <row r="541">
          <cell r="D541" t="str">
            <v>P-RC Химические ихмерения для проектирования</v>
          </cell>
        </row>
        <row r="542">
          <cell r="D542" t="str">
            <v>P-RD Изучение нарушений нормального процесса эксплуатации</v>
          </cell>
        </row>
        <row r="543">
          <cell r="D543" t="str">
            <v>P-RE Отчет о научных исследованих и опытно-конструкторских разработках</v>
          </cell>
        </row>
        <row r="544">
          <cell r="D544" t="str">
            <v>P-RF Отчет о несоотвествии техническим условиям</v>
          </cell>
        </row>
        <row r="545">
          <cell r="D545" t="str">
            <v>P-Rl Химические ихмерения для ПНР и эксплуатационных испытаний</v>
          </cell>
        </row>
        <row r="546">
          <cell r="D546" t="str">
            <v>P-RK Листки техданных для калибровки средств измерения</v>
          </cell>
        </row>
        <row r="547">
          <cell r="D547" t="str">
            <v>P-RQ Итоговый отчет по проведению квалификации подрядчика/поставщика</v>
          </cell>
        </row>
        <row r="548">
          <cell r="D548" t="str">
            <v>P-RR Отчет по изучению технологии</v>
          </cell>
        </row>
        <row r="549">
          <cell r="D549" t="str">
            <v>P-RT Отчет по рассмотрению схем развязки трубопроводов и КИП</v>
          </cell>
        </row>
        <row r="550">
          <cell r="D550" t="str">
            <v>P-SC Спецификация устройств контроля технологического процесса</v>
          </cell>
        </row>
        <row r="551">
          <cell r="D551" t="str">
            <v>P-SE Спецификация выбросов и стоков</v>
          </cell>
        </row>
        <row r="552">
          <cell r="D552" t="str">
            <v>P-SG Концепция системы управления технологическим процессом</v>
          </cell>
        </row>
        <row r="553">
          <cell r="D553" t="str">
            <v>P-SH Спецификация тепло/энергосредств</v>
          </cell>
        </row>
        <row r="554">
          <cell r="D554" t="str">
            <v>P-SP Описание технологии</v>
          </cell>
        </row>
        <row r="555">
          <cell r="D555" t="str">
            <v>P-TA График работ по проектированию</v>
          </cell>
        </row>
        <row r="556">
          <cell r="D556" t="str">
            <v>P-Tl План предварительного пуска установки</v>
          </cell>
        </row>
        <row r="557">
          <cell r="D557" t="str">
            <v>P-TT Временной график</v>
          </cell>
        </row>
        <row r="558">
          <cell r="D558" t="str">
            <v>P-XX Лист технических данных поставщика</v>
          </cell>
        </row>
        <row r="559">
          <cell r="D559" t="str">
            <v>P-ZP Концептуальная схема расположения</v>
          </cell>
        </row>
        <row r="560">
          <cell r="D560" t="str">
            <v>P-ZQ Схема расположения основной панели управления</v>
          </cell>
        </row>
        <row r="561">
          <cell r="D561" t="str">
            <v xml:space="preserve">P-ZR Логические схемы и схемы последовательности </v>
          </cell>
        </row>
        <row r="562">
          <cell r="D562" t="str">
            <v>Q Управление качеством</v>
          </cell>
        </row>
        <row r="563">
          <cell r="D563" t="str">
            <v>Q-CA Схема</v>
          </cell>
        </row>
        <row r="564">
          <cell r="D564" t="str">
            <v>Q-LA Перечень вопросов для аудита</v>
          </cell>
        </row>
        <row r="565">
          <cell r="D565" t="str">
            <v>Q-LD Перечень документов, Перечень содержания</v>
          </cell>
        </row>
        <row r="566">
          <cell r="D566" t="str">
            <v>Q-PC Процедура координации документооборота по вопросам ОТБОС</v>
          </cell>
        </row>
        <row r="567">
          <cell r="D567" t="str">
            <v>Q-PE Инсрукция по эксплуатации</v>
          </cell>
        </row>
        <row r="568">
          <cell r="D568" t="str">
            <v>Q-PS Техника безопасности на стройплощадке</v>
          </cell>
        </row>
        <row r="569">
          <cell r="D569" t="str">
            <v>Q-RA Аудиторское заключение</v>
          </cell>
        </row>
        <row r="570">
          <cell r="D570" t="str">
            <v>Q-RF Отчет по корректирующим и профилактическим мероприятиям</v>
          </cell>
        </row>
        <row r="571">
          <cell r="D571" t="str">
            <v>Q-Rl Отчет о первоначальной инспекции поставщиков</v>
          </cell>
        </row>
        <row r="572">
          <cell r="D572" t="str">
            <v>Q-RQ Общий отчет по вопросам управления качеством</v>
          </cell>
        </row>
        <row r="573">
          <cell r="D573" t="str">
            <v>Q-TA План проверки</v>
          </cell>
        </row>
        <row r="574">
          <cell r="D574" t="str">
            <v>Q-XX Лист технических данных поставщика</v>
          </cell>
        </row>
        <row r="575">
          <cell r="D575" t="str">
            <v>R Материалы трубопроводов</v>
          </cell>
        </row>
        <row r="576">
          <cell r="D576" t="str">
            <v>R-CA Схема</v>
          </cell>
        </row>
        <row r="577">
          <cell r="D577" t="str">
            <v>R-CE Расчеты</v>
          </cell>
        </row>
        <row r="578">
          <cell r="D578" t="str">
            <v>R-GE Перечень вспомогательных материалов для трубопроводов</v>
          </cell>
        </row>
        <row r="579">
          <cell r="D579" t="str">
            <v>R-LA Перечень строительных материалов для окраски</v>
          </cell>
        </row>
        <row r="580">
          <cell r="D580" t="str">
            <v>R-LB Перечень строительных материалов для изоляции</v>
          </cell>
        </row>
        <row r="581">
          <cell r="D581" t="str">
            <v>R-LD Перечень чертежей, Перечень документов, Перечень содержания</v>
          </cell>
        </row>
        <row r="582">
          <cell r="D582" t="str">
            <v>R-LL Перечень трубопроводов</v>
          </cell>
        </row>
        <row r="583">
          <cell r="D583" t="str">
            <v>R-LM Общий перечень монтируемых трубопроводов</v>
          </cell>
        </row>
        <row r="584">
          <cell r="D584" t="str">
            <v>R-LN Перечень трубопроводной арматуры</v>
          </cell>
        </row>
        <row r="585">
          <cell r="D585" t="str">
            <v>R-LR Перечень строительных материалов на монтаж трубопроводов</v>
          </cell>
        </row>
        <row r="586">
          <cell r="D586" t="str">
            <v>R-LP Выборка материалов</v>
          </cell>
        </row>
        <row r="587">
          <cell r="D587" t="str">
            <v>R-LV Перечень поставщиков</v>
          </cell>
        </row>
        <row r="588">
          <cell r="D588" t="str">
            <v>R-LY Перечень запчастей</v>
          </cell>
        </row>
        <row r="589">
          <cell r="D589" t="str">
            <v>R-OR Заявка на размещение заказа в главном календарном графике</v>
          </cell>
        </row>
        <row r="590">
          <cell r="D590" t="str">
            <v xml:space="preserve">R-SG Общая спецификация </v>
          </cell>
        </row>
        <row r="591">
          <cell r="D591" t="str">
            <v>R-SP Стандартная спецификация</v>
          </cell>
        </row>
        <row r="592">
          <cell r="D592" t="str">
            <v>R-SS Специальная проектная спецификация</v>
          </cell>
        </row>
        <row r="593">
          <cell r="D593" t="str">
            <v>R-XX Лист технических данных поставщика</v>
          </cell>
        </row>
        <row r="594">
          <cell r="D594" t="str">
            <v>R-ZD Чертеж специальной части</v>
          </cell>
        </row>
        <row r="595">
          <cell r="D595" t="str">
            <v>R-ZE Чертеж трубопроводного материала</v>
          </cell>
        </row>
        <row r="596">
          <cell r="D596" t="str">
            <v>S Производственная безопасность, ООС</v>
          </cell>
        </row>
        <row r="597">
          <cell r="D597" t="str">
            <v>S-CA Схема</v>
          </cell>
        </row>
        <row r="598">
          <cell r="D598" t="str">
            <v>S-CE Расчет</v>
          </cell>
        </row>
        <row r="599">
          <cell r="D599" t="str">
            <v>S-CS Анализ рисков</v>
          </cell>
        </row>
        <row r="600">
          <cell r="D600" t="str">
            <v xml:space="preserve">S-DE Листок технических данных </v>
          </cell>
        </row>
        <row r="601">
          <cell r="D601" t="str">
            <v>S-GE Перечень приложений</v>
          </cell>
        </row>
        <row r="602">
          <cell r="D602" t="str">
            <v>S-LA Позиции, связанные с обеспечением безопасности</v>
          </cell>
        </row>
        <row r="603">
          <cell r="D603" t="str">
            <v>S-LD Перечень чертежей, Перечень документов, Перечень содержания</v>
          </cell>
        </row>
        <row r="604">
          <cell r="D604" t="str">
            <v>S-LE Перечень оборудования</v>
          </cell>
        </row>
        <row r="605">
          <cell r="D605" t="str">
            <v>S-LP Список запасных частей</v>
          </cell>
        </row>
        <row r="606">
          <cell r="D606" t="str">
            <v>S-LU Перечень мер по защите окружающей среды</v>
          </cell>
        </row>
        <row r="607">
          <cell r="D607" t="str">
            <v>S-LV Перечень поставщиков</v>
          </cell>
        </row>
        <row r="608">
          <cell r="D608" t="str">
            <v>S-LY Перечень запчастей</v>
          </cell>
        </row>
        <row r="609">
          <cell r="D609" t="str">
            <v>S-MM Руководство по эксплуатации</v>
          </cell>
        </row>
        <row r="610">
          <cell r="D610" t="str">
            <v>S-OR Заявка на размещение заказа в главном календарном графике</v>
          </cell>
        </row>
        <row r="611">
          <cell r="D611" t="str">
            <v>S-PC Порядок взаимодействия</v>
          </cell>
        </row>
        <row r="612">
          <cell r="D612" t="str">
            <v>S-PE Процедура, инструкция по эксплуатации</v>
          </cell>
        </row>
        <row r="613">
          <cell r="D613" t="str">
            <v>S-PQ Порядок обеспечения качества</v>
          </cell>
        </row>
        <row r="614">
          <cell r="D614" t="str">
            <v>S-QA Акт приемки</v>
          </cell>
        </row>
        <row r="615">
          <cell r="D615" t="str">
            <v>S-RF Отчет о несоотвествии техническим условиям</v>
          </cell>
        </row>
        <row r="616">
          <cell r="D616" t="str">
            <v>S-RS Отчет об уровне шума</v>
          </cell>
        </row>
        <row r="617">
          <cell r="D617" t="str">
            <v>S-RW Акт замены материала</v>
          </cell>
        </row>
        <row r="618">
          <cell r="D618" t="str">
            <v>S-SD Схематический чертеж</v>
          </cell>
        </row>
        <row r="619">
          <cell r="D619" t="str">
            <v>S-SG Спецификация</v>
          </cell>
        </row>
        <row r="620">
          <cell r="D620" t="str">
            <v>S-ST Условие поставки</v>
          </cell>
        </row>
        <row r="621">
          <cell r="D621" t="str">
            <v>S-TT Временной график</v>
          </cell>
        </row>
        <row r="622">
          <cell r="D622" t="str">
            <v>S-XX Лист технических данных поставщика</v>
          </cell>
        </row>
        <row r="623">
          <cell r="D623" t="str">
            <v>S-ZA Классификация зон, расположение датчиков</v>
          </cell>
        </row>
        <row r="624">
          <cell r="D624" t="str">
            <v>S-ZE Чертеж оборудования, обеспечивающего безопасность работ</v>
          </cell>
        </row>
        <row r="625">
          <cell r="D625" t="str">
            <v>S-ZF Чертеж противопожарной системы</v>
          </cell>
        </row>
        <row r="626">
          <cell r="D626" t="str">
            <v>S-ZU Общие схемы защиты от шума и защиты окружающей среды</v>
          </cell>
        </row>
        <row r="627">
          <cell r="D627" t="str">
            <v>T Материалы, тестирование, проверка</v>
          </cell>
        </row>
        <row r="628">
          <cell r="D628" t="str">
            <v>T-DA Листок технических данных на материалы</v>
          </cell>
        </row>
        <row r="629">
          <cell r="D629" t="str">
            <v>T-GE Перечень приложений</v>
          </cell>
        </row>
        <row r="630">
          <cell r="D630" t="str">
            <v>T-LD Перечень чертежей, Перечень документов, Перечень содержания</v>
          </cell>
        </row>
        <row r="631">
          <cell r="D631" t="str">
            <v>T-LV Перечень поставщиков</v>
          </cell>
        </row>
        <row r="632">
          <cell r="D632" t="str">
            <v>T-PE Процедуры, инструкции по эксплуатации</v>
          </cell>
        </row>
        <row r="633">
          <cell r="D633" t="str">
            <v>T-QA Акт приемки</v>
          </cell>
        </row>
        <row r="634">
          <cell r="D634" t="str">
            <v>T-Ql Протокол осмотра</v>
          </cell>
        </row>
        <row r="635">
          <cell r="D635" t="str">
            <v>T-RA Отчет о плане обеспечения качества</v>
          </cell>
        </row>
        <row r="636">
          <cell r="D636" t="str">
            <v>T-RB отчет о надзоре на месте производства работ</v>
          </cell>
        </row>
        <row r="637">
          <cell r="D637" t="str">
            <v>T-RF Отчет о несоотвествии техническим условиям</v>
          </cell>
        </row>
        <row r="638">
          <cell r="D638" t="str">
            <v>T-Rl Отчет о результатах инспекции и контроля сроков</v>
          </cell>
        </row>
        <row r="639">
          <cell r="D639" t="str">
            <v>T-RM Акт замены материала</v>
          </cell>
        </row>
        <row r="640">
          <cell r="D640" t="str">
            <v>T-RT Отчет о результатах исследования повреждений</v>
          </cell>
        </row>
        <row r="641">
          <cell r="D641" t="str">
            <v>T-SA Нормы строительства, испытаний и инспекций</v>
          </cell>
        </row>
        <row r="642">
          <cell r="D642" t="str">
            <v>T-SL Условия поставки технических данных в связи с проектом</v>
          </cell>
        </row>
        <row r="643">
          <cell r="D643" t="str">
            <v>T-SQ График контроля качества</v>
          </cell>
        </row>
        <row r="644">
          <cell r="D644" t="str">
            <v>T-SS Спецификация антикоррозионной защиты</v>
          </cell>
        </row>
        <row r="645">
          <cell r="D645" t="str">
            <v>T-SV Спецификации на изготовление и испытания</v>
          </cell>
        </row>
        <row r="646">
          <cell r="D646" t="str">
            <v>T-SW Спецификации на применение материалов</v>
          </cell>
        </row>
        <row r="647">
          <cell r="D647" t="str">
            <v>T-TB Графики контроля сроков и инспекций</v>
          </cell>
        </row>
        <row r="648">
          <cell r="D648" t="str">
            <v>T-XX Лист технических данных поставщика</v>
          </cell>
        </row>
        <row r="649">
          <cell r="D649" t="str">
            <v>W Строительное проектирование</v>
          </cell>
        </row>
        <row r="650">
          <cell r="D650" t="str">
            <v>W-CA Схема, анализ</v>
          </cell>
        </row>
        <row r="651">
          <cell r="D651" t="str">
            <v>W-CE Расчеты</v>
          </cell>
        </row>
        <row r="652">
          <cell r="D652" t="str">
            <v>W-CK Расчеты, сводные таблицы</v>
          </cell>
        </row>
        <row r="653">
          <cell r="D653" t="str">
            <v>W-DE Перечень оборудования для монтажа и изоляции</v>
          </cell>
        </row>
        <row r="654">
          <cell r="D654" t="str">
            <v>W-DW Лист технических требований к строительству</v>
          </cell>
        </row>
        <row r="655">
          <cell r="D655" t="str">
            <v>W-GJ Перечень приложений</v>
          </cell>
        </row>
        <row r="656">
          <cell r="D656" t="str">
            <v>W-LD Перечень чертежей, Перечень документов, Перечень содержания</v>
          </cell>
        </row>
        <row r="657">
          <cell r="D657" t="str">
            <v>W-LE Перечень специальных инструментов для монтажа</v>
          </cell>
        </row>
        <row r="658">
          <cell r="D658" t="str">
            <v>W-LM Ведомость изоляционных/покрасочных материалов</v>
          </cell>
        </row>
        <row r="659">
          <cell r="D659" t="str">
            <v>W-LT Список комплектующих комплектной позиции</v>
          </cell>
        </row>
        <row r="660">
          <cell r="D660" t="str">
            <v>W-LV Перечень поставщиков</v>
          </cell>
        </row>
        <row r="661">
          <cell r="D661" t="str">
            <v>W-LX Прайс лист/сравнение ценовых предложений</v>
          </cell>
        </row>
        <row r="662">
          <cell r="D662" t="str">
            <v>W-MM Руководство по эксплуатации</v>
          </cell>
        </row>
        <row r="663">
          <cell r="D663" t="str">
            <v>W-OR Заявка на размещение заказа в главном календарном графике</v>
          </cell>
        </row>
        <row r="664">
          <cell r="D664" t="str">
            <v>W-PE Процедуры, инструкция по эксплуатации</v>
          </cell>
        </row>
        <row r="665">
          <cell r="D665" t="str">
            <v>W-PW Процедура приемки</v>
          </cell>
        </row>
        <row r="666">
          <cell r="D666" t="str">
            <v>W-QA Акты приемки</v>
          </cell>
        </row>
        <row r="667">
          <cell r="D667" t="str">
            <v>W-RA Акты приемки монтажа и центровки оборудования</v>
          </cell>
        </row>
        <row r="668">
          <cell r="D668" t="str">
            <v>W- RF Отчет о несоотвествии техническим условиям</v>
          </cell>
        </row>
        <row r="669">
          <cell r="D669" t="str">
            <v>W-RR Измерение хода строительных работ и отчетность</v>
          </cell>
        </row>
        <row r="670">
          <cell r="D670" t="str">
            <v>W-RW Акт замены материала</v>
          </cell>
        </row>
        <row r="671">
          <cell r="D671" t="str">
            <v>W-SF Спецификация на формы отчетов по строительству</v>
          </cell>
        </row>
        <row r="672">
          <cell r="D672" t="str">
            <v>W-SH Спецификация на строительное руководство</v>
          </cell>
        </row>
        <row r="673">
          <cell r="D673" t="str">
            <v>W-SK Спецификация на отчеты о ходе работ по дисциплинам</v>
          </cell>
        </row>
        <row r="674">
          <cell r="D674" t="str">
            <v>W-SP Стандартная спецификация</v>
          </cell>
        </row>
        <row r="675">
          <cell r="D675" t="str">
            <v>W-SQ Спецификация на документацию и реализацию систем для проведения испытаний</v>
          </cell>
        </row>
        <row r="676">
          <cell r="D676" t="str">
            <v>W-SS Специальная проектная спецификация</v>
          </cell>
        </row>
        <row r="677">
          <cell r="D677" t="str">
            <v>W-SY Спецификация на строительные работы</v>
          </cell>
        </row>
        <row r="678">
          <cell r="D678" t="str">
            <v>W-TT Временные графики, графики планирования персонала</v>
          </cell>
        </row>
        <row r="679">
          <cell r="D679" t="str">
            <v>W-ZA Планы по временным площадочным сооружениям</v>
          </cell>
        </row>
        <row r="680">
          <cell r="D680" t="str">
            <v>W-ZB Анализ кранов, мобилизация кранов</v>
          </cell>
        </row>
        <row r="681">
          <cell r="D681" t="str">
            <v>A Гражданское строительство / ОВиВК</v>
          </cell>
        </row>
        <row r="682">
          <cell r="D682" t="str">
            <v>AA-BE Технический анализ тендерного предложения (оценка тендерного предложения)</v>
          </cell>
        </row>
        <row r="683">
          <cell r="D683" t="str">
            <v>AA-CD Отчет по динамическим расчетам и вибрации(бетонные конструкции)</v>
          </cell>
        </row>
        <row r="684">
          <cell r="D684" t="str">
            <v xml:space="preserve">AA-CS Отчет по расчету бетонной конструкции </v>
          </cell>
        </row>
        <row r="685">
          <cell r="D685" t="str">
            <v>AA-DA План свай</v>
          </cell>
        </row>
        <row r="686">
          <cell r="D686" t="str">
            <v xml:space="preserve">AA-DA План и детали обработки на огшнестойкость </v>
          </cell>
        </row>
        <row r="687">
          <cell r="D687" t="str">
            <v>AA-DC детали бетонных конструкций (подземных и надземных)</v>
          </cell>
        </row>
        <row r="688">
          <cell r="D688" t="str">
            <v>AA-DF Нагрузки на фундаменты</v>
          </cell>
        </row>
        <row r="689">
          <cell r="D689" t="str">
            <v>AA-DG План фундамента</v>
          </cell>
        </row>
        <row r="690">
          <cell r="D690" t="str">
            <v>AA-DU Фундаменты для железобетонных конструкций предварительные чертежи</v>
          </cell>
        </row>
        <row r="691">
          <cell r="D691" t="str">
            <v>AA-DU Отметки для железобетонных конструкций предварительные чертежи</v>
          </cell>
        </row>
        <row r="692">
          <cell r="D692" t="str">
            <v>AA-EM Методы измерения (для Строительных работ)</v>
          </cell>
        </row>
        <row r="693">
          <cell r="D693" t="str">
            <v>AA-LC Количество и прайс-листы</v>
          </cell>
        </row>
        <row r="694">
          <cell r="D694" t="str">
            <v>AA-LM Ведомость материалов</v>
          </cell>
        </row>
        <row r="695">
          <cell r="D695" t="str">
            <v>AA-MR Заявки на материалы для малогабаритного оборудования и бестарные материалы</v>
          </cell>
        </row>
        <row r="696">
          <cell r="D696" t="str">
            <v>AA-PQ План приемочного контроля строительной площадки (объекта)</v>
          </cell>
        </row>
        <row r="697">
          <cell r="D697" t="str">
            <v>AA-SC Ту на строительные работы, перечень кодов</v>
          </cell>
        </row>
        <row r="698">
          <cell r="D698" t="str">
            <v>AA-SG Общая ТУ на огнестойкость</v>
          </cell>
        </row>
        <row r="699">
          <cell r="D699" t="str">
            <v>AA-SG Общая ТУ на бетон, сооружения из сборного железобетона и т.д.</v>
          </cell>
        </row>
        <row r="700">
          <cell r="D700" t="str">
            <v>AA-SG Общая Ту на гражданское строительство</v>
          </cell>
        </row>
        <row r="701">
          <cell r="D701" t="str">
            <v>AA-SS Ту на поставку</v>
          </cell>
        </row>
        <row r="702">
          <cell r="D702" t="str">
            <v>AA-WR Заявка на выполнение работ (Гражданское строительство)</v>
          </cell>
        </row>
        <row r="703">
          <cell r="D703" t="str">
            <v>AI-CD Отчет по динамическим расчетам и вибрации(бетонные конструкции)</v>
          </cell>
        </row>
        <row r="704">
          <cell r="D704" t="str">
            <v xml:space="preserve">AI-CS Отчет по расчету бетонной конструкции </v>
          </cell>
        </row>
        <row r="705">
          <cell r="D705" t="str">
            <v>AI-DA Дополнительный</v>
          </cell>
        </row>
        <row r="706">
          <cell r="D706" t="str">
            <v>AI-DC Строительные чертежи металлоконструкций, с соединениями (от поставщика)</v>
          </cell>
        </row>
        <row r="707">
          <cell r="D707" t="str">
            <v>AI-DF Опорные плиты-распорные пластины-перечень болтовых соединений-типовые детали</v>
          </cell>
        </row>
        <row r="708">
          <cell r="D708" t="str">
            <v>AI-DG Однолинейная схема металлоконструкций</v>
          </cell>
        </row>
        <row r="709">
          <cell r="D709" t="str">
            <v xml:space="preserve">AI-DU Однолинейная схема с указанием размеров металлоконструкций </v>
          </cell>
        </row>
        <row r="710">
          <cell r="D710" t="str">
            <v>AI-MR Заявки на материалы</v>
          </cell>
        </row>
        <row r="711">
          <cell r="D711" t="str">
            <v>AI-SG Общая ТУ на металлоконструкции</v>
          </cell>
        </row>
        <row r="712">
          <cell r="D712" t="str">
            <v>AI-SS Спецификация на поставку</v>
          </cell>
        </row>
        <row r="713">
          <cell r="D713" t="str">
            <v>AI-VD Дополнительный</v>
          </cell>
        </row>
        <row r="714">
          <cell r="D714" t="str">
            <v>AQ-CH Проектировка подземных сетей</v>
          </cell>
        </row>
        <row r="715">
          <cell r="D715" t="str">
            <v>AQ-CS Дополнительный</v>
          </cell>
        </row>
        <row r="716">
          <cell r="D716" t="str">
            <v>AQ-DC Строительный чертеж подземных кострукций</v>
          </cell>
        </row>
        <row r="717">
          <cell r="D717" t="str">
            <v xml:space="preserve">AQ-DG Основные подземные конструкции без указания размеров  </v>
          </cell>
        </row>
        <row r="718">
          <cell r="D718" t="str">
            <v>AQ-DK Внутризаводская территория подземных систем и  водопроводной / канализационной системы</v>
          </cell>
        </row>
        <row r="719">
          <cell r="D719" t="str">
            <v>AQ-DU Однолинейная схема подземных конструкций с указанием размеров</v>
          </cell>
        </row>
        <row r="720">
          <cell r="D720" t="str">
            <v>AQ-SG Общая ТУ для подземных и надземных канализационных труб</v>
          </cell>
        </row>
        <row r="721">
          <cell r="D721" t="str">
            <v>AW-DA Строительный чертеж конструкции (план, разрез, отметка)</v>
          </cell>
        </row>
        <row r="722">
          <cell r="D722" t="str">
            <v>AW-DG Строительный чертеж основной конструкции</v>
          </cell>
        </row>
        <row r="723">
          <cell r="D723" t="str">
            <v>AW-SG Общая ТУ на  отделочные работы</v>
          </cell>
        </row>
        <row r="724">
          <cell r="D724" t="str">
            <v>AX-CG Геотехнический расчет</v>
          </cell>
        </row>
        <row r="725">
          <cell r="D725" t="str">
            <v>AX-DA План  дорог, строительной площадки и  дорожных покрытий - монтажный чертеж</v>
          </cell>
        </row>
        <row r="726">
          <cell r="D726" t="str">
            <v>AX-DC Строительный чертеж дорог, строительной площадки и дорожных покрытий</v>
          </cell>
        </row>
        <row r="727">
          <cell r="D727" t="str">
            <v xml:space="preserve">AX-DC Земляные работы и  улучшение почвы - строительный чертеж  </v>
          </cell>
        </row>
        <row r="728">
          <cell r="D728" t="str">
            <v>AX-DG Общий план - Ситуационный план -Карты землевладений, существующая карта с высотными отметками</v>
          </cell>
        </row>
        <row r="729">
          <cell r="D729" t="str">
            <v>AX-DK Точка геотехнической диагностики</v>
          </cell>
        </row>
        <row r="730">
          <cell r="D730" t="str">
            <v>AX-DU Разрешения на строительство</v>
          </cell>
        </row>
        <row r="731">
          <cell r="D731" t="str">
            <v>AX-SG ТУ на подготовку  строительной площадки</v>
          </cell>
        </row>
        <row r="732">
          <cell r="D732" t="str">
            <v>AZ-CC отчет по проектированию ОВиКВ</v>
          </cell>
        </row>
        <row r="733">
          <cell r="D733" t="str">
            <v>AZ-CZ Отчет о проектирвке ОВиКВ от Поставщика / Субподрядчика</v>
          </cell>
        </row>
        <row r="734">
          <cell r="D734" t="str">
            <v>AZ-DC Строиельные чертежи системы ОВиКВ</v>
          </cell>
        </row>
        <row r="735">
          <cell r="D735" t="str">
            <v>AZ-DG Концептуальные изображения системы ОВиКВ</v>
          </cell>
        </row>
        <row r="736">
          <cell r="D736" t="str">
            <v>AZ-DM Монтажно-технологичские схемы КИПиА ОВиКВ и схемы КИПиА</v>
          </cell>
        </row>
        <row r="737">
          <cell r="D737" t="str">
            <v>AZ-DN Схема электропроводки ОВиКВ/ чертеж</v>
          </cell>
        </row>
        <row r="738">
          <cell r="D738" t="str">
            <v>AZ-DP Технологическая схема ОвиКВ</v>
          </cell>
        </row>
        <row r="739">
          <cell r="D739" t="str">
            <v xml:space="preserve">AZ-DU Однолинейная схема с указанием размеров каналов ОВиКВ </v>
          </cell>
        </row>
        <row r="740">
          <cell r="D740" t="str">
            <v xml:space="preserve">AZ-FP Опросные листы технологических данных систем ОВиКВ </v>
          </cell>
        </row>
        <row r="741">
          <cell r="D741" t="str">
            <v>AZ-FP Таблица расходных средств для ОВиКВ</v>
          </cell>
        </row>
        <row r="742">
          <cell r="D742" t="str">
            <v>AZ-LC Перечни оборудования/материалов для строительных работ по ОВиКВ</v>
          </cell>
        </row>
        <row r="743">
          <cell r="D743" t="str">
            <v>AZ-SE ТУ на материалы ОВиКВ</v>
          </cell>
        </row>
        <row r="744">
          <cell r="D744" t="str">
            <v>AZ-SG Ту на систему ОВиКВ</v>
          </cell>
        </row>
        <row r="745">
          <cell r="D745" t="str">
            <v>AZ-WR Заявка на выполнение работ (ОВиКВ)</v>
          </cell>
        </row>
        <row r="746">
          <cell r="D746" t="str">
            <v>C Конструкция оборудования – страционарное оборудование</v>
          </cell>
        </row>
        <row r="747">
          <cell r="D747" t="str">
            <v>C&amp;-BE Технический анализ тендерного предложения (оценка тендерного предложения)</v>
          </cell>
        </row>
        <row r="748">
          <cell r="D748" t="str">
            <v>C&amp;-CM отчеты по механическим расчетам</v>
          </cell>
        </row>
        <row r="749">
          <cell r="D749" t="str">
            <v>C&amp;-DX Технический чертеж оборудования (автоклавы, колонны, реакторы, сосуды работающие под давлением и под атмосферным давлением, дымовые трубы, Кожухо-трубные теплообменники и  теплообменники типа "трба в трубе")</v>
          </cell>
        </row>
        <row r="750">
          <cell r="D750" t="str">
            <v xml:space="preserve">C&amp;-LP Сводки и таблицы с техническими характеристиками  </v>
          </cell>
        </row>
        <row r="751">
          <cell r="D751" t="str">
            <v>C&amp;-MR Заявки на материалы</v>
          </cell>
        </row>
        <row r="752">
          <cell r="D752" t="str">
            <v>C&amp;-SE ТУ на позиции (механическая ТУ) (дымовые трубы, колонны, сушилки, фильтры, циклоны, рассеиватели тумана, реакторы, набивка,футеровка, теплообменники (пластинчатые, воздушные, электрические), сосуды, работающие под давлением, сосуды, работающие под атмосферным давлением, Парк резервуаров АНИ, распылители, мешалки, глушители, воронкообразные бункеры, сферы, силосы, не металлические сосуды)</v>
          </cell>
        </row>
        <row r="753">
          <cell r="D753" t="str">
            <v>C&amp;-SS Ту на поставку</v>
          </cell>
        </row>
        <row r="754">
          <cell r="D754" t="str">
            <v>CC-BE Технический анализ тендерного предложения (оценка тендерного предложения)</v>
          </cell>
        </row>
        <row r="755">
          <cell r="D755" t="str">
            <v>CC-DX Технический чертеж оборудования (автоклавы, колонны, реакторы, сосуды работающие под давлением и под атмосферным давлением, дымовые трубы, кожухо-трубные теплообменники и теплообменники типа "труба в трубе")</v>
          </cell>
        </row>
        <row r="756">
          <cell r="D756" t="str">
            <v>CC-MR Заявки на материалы</v>
          </cell>
        </row>
        <row r="757">
          <cell r="D757" t="str">
            <v>CC-SS Спецификация на поставку</v>
          </cell>
        </row>
        <row r="758">
          <cell r="D758" t="str">
            <v>CC-VD Дополнительный</v>
          </cell>
        </row>
        <row r="759">
          <cell r="D759" t="str">
            <v>CD-BE Технический анализ тендерного предложения (оценка тендерного предложения)</v>
          </cell>
        </row>
        <row r="760">
          <cell r="D760" t="str">
            <v>CD-DX Технический чертеж оборудования (автоклавы, колонны, реакторы, сосуды работающие под давлением и под атмосферным давлением, дымовые трубы, кожухо-трубные теплообменники и теплообменники типа "труба в трубе")</v>
          </cell>
        </row>
        <row r="761">
          <cell r="D761" t="str">
            <v>CD-MR Заявки на материалы</v>
          </cell>
        </row>
        <row r="762">
          <cell r="D762" t="str">
            <v>CD-SE Спецификации на позиции оборудования</v>
          </cell>
        </row>
        <row r="763">
          <cell r="D763" t="str">
            <v>CD-SS Спецификация на поставку</v>
          </cell>
        </row>
        <row r="764">
          <cell r="D764" t="str">
            <v>CD-VD Дополнительный</v>
          </cell>
        </row>
        <row r="765">
          <cell r="D765" t="str">
            <v>CE-BE Технический анализ тендерного предложения (оценка тендерного предложения)</v>
          </cell>
        </row>
        <row r="766">
          <cell r="D766" t="str">
            <v>CE-DX Технический чертеж оборудования (автоклавы, колонны, реакторы, сосуды работающие под давлением и под атмосферным давлением, дымовые трубы, кожухо-трубные теплообменники и теплообменники типа "труба в трубе")</v>
          </cell>
        </row>
        <row r="767">
          <cell r="D767" t="str">
            <v>CE-MR Заявки на материалы</v>
          </cell>
        </row>
        <row r="768">
          <cell r="D768" t="str">
            <v>CE-SE Спецификации на позиции оборудования</v>
          </cell>
        </row>
        <row r="769">
          <cell r="D769" t="str">
            <v>CE-SS Спецификация на поставку</v>
          </cell>
        </row>
        <row r="770">
          <cell r="D770" t="str">
            <v>CE-VD Дополнительный</v>
          </cell>
        </row>
        <row r="771">
          <cell r="D771" t="str">
            <v>CF-BE Технический анализ тендерного предложения (оценка тендерного предложения)</v>
          </cell>
        </row>
        <row r="772">
          <cell r="D772" t="str">
            <v>CF-SE Спецификации на позиции оборудования</v>
          </cell>
        </row>
        <row r="773">
          <cell r="D773" t="str">
            <v>CF-SS Спецификация на поставку</v>
          </cell>
        </row>
        <row r="774">
          <cell r="D774" t="str">
            <v>CF-VD Дополнительный</v>
          </cell>
        </row>
        <row r="775">
          <cell r="D775" t="str">
            <v>CR-BE Технический анализ тендерного предложения (оценка тендерного предложения)</v>
          </cell>
        </row>
        <row r="776">
          <cell r="D776" t="str">
            <v>CR-DX Технический чертеж оборудования (автоклавы, колонны, реакторы, сосуды работающие под давлением и под атмосферным давлением, дымовые трубы, кожухо-трубные теплообменники и теплообменники типа "труба в трубе")</v>
          </cell>
        </row>
        <row r="777">
          <cell r="D777" t="str">
            <v>CR-MR Material Requisitions</v>
          </cell>
        </row>
        <row r="778">
          <cell r="D778" t="str">
            <v>CR-SS Supply specification</v>
          </cell>
        </row>
        <row r="779">
          <cell r="D779" t="str">
            <v>CR-VD Supplementary</v>
          </cell>
        </row>
        <row r="780">
          <cell r="D780" t="str">
            <v>CZ-LM Ведомость материалов</v>
          </cell>
        </row>
        <row r="781">
          <cell r="D781" t="str">
            <v>CZ-SG Общие ТУ на оборудорвание, работающее под давлением и  под атмосферным давлением</v>
          </cell>
        </row>
        <row r="782">
          <cell r="D782" t="str">
            <v xml:space="preserve">D Пуско-наладочные работы </v>
          </cell>
        </row>
        <row r="783">
          <cell r="D783" t="str">
            <v xml:space="preserve">DZ-DP Блок-схема предпусковых работ </v>
          </cell>
        </row>
        <row r="784">
          <cell r="D784" t="str">
            <v>DZ-LD Дополнительный</v>
          </cell>
        </row>
        <row r="785">
          <cell r="D785" t="str">
            <v>DZ-LE Перечень оборудования</v>
          </cell>
        </row>
        <row r="786">
          <cell r="D786" t="str">
            <v>DZ-LL Перечень технологических  линий</v>
          </cell>
        </row>
        <row r="787">
          <cell r="D787" t="str">
            <v>DZ-LN Дополнительный</v>
          </cell>
        </row>
        <row r="788">
          <cell r="D788" t="str">
            <v>DZ-LP Расходные средства для предпусковых работ</v>
          </cell>
        </row>
        <row r="789">
          <cell r="D789" t="str">
            <v>DZ-LP Реагенты / катализатор для пуско-наладочных работ и ввода в эксплуатацию</v>
          </cell>
        </row>
        <row r="790">
          <cell r="D790" t="str">
            <v>DZ-LS Дополнительный</v>
          </cell>
        </row>
        <row r="791">
          <cell r="D791" t="str">
            <v xml:space="preserve">DZ-MP руководство по эксплуатации по предпусковым работам / пуско-наладке / сдаче объекта </v>
          </cell>
        </row>
        <row r="792">
          <cell r="D792" t="str">
            <v xml:space="preserve">DZ-PC Процедура координации пусконаладочных работ и ввода в эксплуатацию </v>
          </cell>
        </row>
        <row r="793">
          <cell r="D793" t="str">
            <v xml:space="preserve">DZ-PG Ведомость предпусковых и пуско-наладочных работ </v>
          </cell>
        </row>
        <row r="794">
          <cell r="D794" t="str">
            <v>DZ-PL План пуско-наладочных работ и ввода оборудования в эксплуатацию (включая аспекты ОВиКВ)</v>
          </cell>
        </row>
        <row r="795">
          <cell r="D795" t="str">
            <v>DZ-PQ Процедуры по пусконаладке.</v>
          </cell>
        </row>
        <row r="796">
          <cell r="D796" t="str">
            <v xml:space="preserve">DZ-PQ Ввод в эксплуатацию и  процеры передачи </v>
          </cell>
        </row>
        <row r="797">
          <cell r="D797" t="str">
            <v>DZ-PQ Методика эксплуатационных испытаний</v>
          </cell>
        </row>
        <row r="798">
          <cell r="D798" t="str">
            <v>DZ-RC Официальные отчеты по пуско-наладочным работам и вводу в эксплуатацию.</v>
          </cell>
        </row>
        <row r="799">
          <cell r="D799" t="str">
            <v xml:space="preserve">DZ-SC Ту на пусконаладочные работы и ввод в эксплуатацию </v>
          </cell>
        </row>
        <row r="800">
          <cell r="D800" t="str">
            <v>DZ-SD Определение стандартной системы</v>
          </cell>
        </row>
        <row r="801">
          <cell r="D801" t="str">
            <v>G Конструкция оборудования – динамическое оборудование</v>
          </cell>
        </row>
        <row r="802">
          <cell r="D802" t="str">
            <v>G&amp;BE Технический анализ тендерного предложения (оценка тендерного предложения)</v>
          </cell>
        </row>
        <row r="803">
          <cell r="D803" t="str">
            <v>G&amp;LM Ведомость материалов</v>
          </cell>
        </row>
        <row r="804">
          <cell r="D804" t="str">
            <v>G&amp;MR Заявки на материалы</v>
          </cell>
        </row>
        <row r="805">
          <cell r="D805" t="str">
            <v>G&amp;SE Ту на позиции оборудования (насосы, компрессоры, винтовые транспортеры, подъемники, сетчатые фильтры, экструзионные прессы, холодильные установки и т.д.)</v>
          </cell>
        </row>
        <row r="806">
          <cell r="D806" t="str">
            <v>G&amp;SS Ту на поставку</v>
          </cell>
        </row>
        <row r="807">
          <cell r="D807" t="str">
            <v>GG-BE Технический анализ тендерного предложения (оценка тендерного предложения)</v>
          </cell>
        </row>
        <row r="808">
          <cell r="D808" t="str">
            <v>GG-MR Заявки на материалы</v>
          </cell>
        </row>
        <row r="809">
          <cell r="D809" t="str">
            <v>GG-SE Спецификации на позиции оборудования</v>
          </cell>
        </row>
        <row r="810">
          <cell r="D810" t="str">
            <v>GG-SS Спецификация на поставку</v>
          </cell>
        </row>
        <row r="811">
          <cell r="D811" t="str">
            <v>GG-VD Дополнительный</v>
          </cell>
        </row>
        <row r="812">
          <cell r="D812" t="str">
            <v>GH-DC Дополнительный</v>
          </cell>
        </row>
        <row r="813">
          <cell r="D813" t="str">
            <v>GH-DF Дополнительный</v>
          </cell>
        </row>
        <row r="814">
          <cell r="D814" t="str">
            <v>GH-DM Монтажно-технологические схемы (P&amp;ID)</v>
          </cell>
        </row>
        <row r="815">
          <cell r="D815" t="str">
            <v>GH-DN Дополнительный</v>
          </cell>
        </row>
        <row r="816">
          <cell r="D816" t="str">
            <v>GH-DP Дополнительный</v>
          </cell>
        </row>
        <row r="817">
          <cell r="D817" t="str">
            <v>GH-DT Дополнительный</v>
          </cell>
        </row>
        <row r="818">
          <cell r="D818" t="str">
            <v xml:space="preserve">GH-FP Опросные листы проектных технологических данных систем ОВКВ </v>
          </cell>
        </row>
        <row r="819">
          <cell r="D819" t="str">
            <v>GH-LC Количества и прайс-листы</v>
          </cell>
        </row>
        <row r="820">
          <cell r="D820" t="str">
            <v>GH-MR Заявки на материалы</v>
          </cell>
        </row>
        <row r="821">
          <cell r="D821" t="str">
            <v>GH-SG Спецификация на систему ОВКВ</v>
          </cell>
        </row>
        <row r="822">
          <cell r="D822" t="str">
            <v>GH-SS Спецификация на поставку</v>
          </cell>
        </row>
        <row r="823">
          <cell r="D823" t="str">
            <v>GH-WR Заявка на выполнение работ</v>
          </cell>
        </row>
        <row r="824">
          <cell r="D824" t="str">
            <v>GJ-BE Технический анализ тендерного предложения (оценка тендерного предложения)</v>
          </cell>
        </row>
        <row r="825">
          <cell r="D825" t="str">
            <v>GJ-MR Заявки на материалы</v>
          </cell>
        </row>
        <row r="826">
          <cell r="D826" t="str">
            <v>GJ-SE Спецификации на позиции оборудования</v>
          </cell>
        </row>
        <row r="827">
          <cell r="D827" t="str">
            <v>GJ-SS Спецификация на поставку</v>
          </cell>
        </row>
        <row r="828">
          <cell r="D828" t="str">
            <v>GJ-VD Дополнительный</v>
          </cell>
        </row>
        <row r="829">
          <cell r="D829" t="str">
            <v>GP-BE Технический анализ тендерного предложения (оценка тендерного предложения)</v>
          </cell>
        </row>
        <row r="830">
          <cell r="D830" t="str">
            <v>GP-MR Заявки на материалы</v>
          </cell>
        </row>
        <row r="831">
          <cell r="D831" t="str">
            <v>GP-SE Спецификации на позиции оборудования</v>
          </cell>
        </row>
        <row r="832">
          <cell r="D832" t="str">
            <v>GP-SS Спецификация на поставку</v>
          </cell>
        </row>
        <row r="833">
          <cell r="D833" t="str">
            <v>GP-VD Дополнительный</v>
          </cell>
        </row>
        <row r="834">
          <cell r="D834" t="str">
            <v>GT-BE Технический анализ тендерного предложения (оценка тендерного предложения)</v>
          </cell>
        </row>
        <row r="835">
          <cell r="D835" t="str">
            <v>GT-MR Заявки на материалы</v>
          </cell>
        </row>
        <row r="836">
          <cell r="D836" t="str">
            <v>GT-SE Спецификации на позиции оборудования</v>
          </cell>
        </row>
        <row r="837">
          <cell r="D837" t="str">
            <v>GT-SS Спецификация на поставку</v>
          </cell>
        </row>
        <row r="838">
          <cell r="D838" t="str">
            <v>GT-VD Дополнительный</v>
          </cell>
        </row>
        <row r="839">
          <cell r="D839" t="str">
            <v>GY-BE Технический анализ тендерного предложения (оценка тендерного предложения)</v>
          </cell>
        </row>
        <row r="840">
          <cell r="D840" t="str">
            <v>GY-MR Заявки на материалы</v>
          </cell>
        </row>
        <row r="841">
          <cell r="D841" t="str">
            <v>GY-SE Спецификации на позиции оборудования</v>
          </cell>
        </row>
        <row r="842">
          <cell r="D842" t="str">
            <v>GY-SS Спецификация на поставку</v>
          </cell>
        </row>
        <row r="843">
          <cell r="D843" t="str">
            <v>GY-VD Дополнительный</v>
          </cell>
        </row>
        <row r="844">
          <cell r="D844" t="str">
            <v>GZ-LT Таблицы подачи смазки</v>
          </cell>
        </row>
        <row r="845">
          <cell r="D845" t="str">
            <v>GZ-SG Ощая ТУ на поставку машинного оборудования (насосов, компрессоров и т.д.)</v>
          </cell>
        </row>
        <row r="846">
          <cell r="D846" t="str">
            <v>GZ-SG Ту на монтажные работы машинного оборудования наплощадке of assembly works at site of machinery</v>
          </cell>
        </row>
        <row r="847">
          <cell r="D847" t="str">
            <v>I Информационные технологии и технологии связи</v>
          </cell>
        </row>
        <row r="848">
          <cell r="D848" t="str">
            <v>IZ-PL Проект плана информационного обеспечения (или план автоматизации проекта)</v>
          </cell>
        </row>
        <row r="849">
          <cell r="D849" t="str">
            <v>K КИПиА / Телекоммуникации</v>
          </cell>
        </row>
        <row r="850">
          <cell r="D850" t="str">
            <v>KK-BE Технический анализ тендерного предложения (оценка тендерного предложения)</v>
          </cell>
        </row>
        <row r="851">
          <cell r="D851" t="str">
            <v>KK-BE Технический анализ тендерного предложения (оценка тендерного предложения)</v>
          </cell>
        </row>
        <row r="852">
          <cell r="D852" t="str">
            <v xml:space="preserve">KK-CI Рассчеты по искробезопасной установке </v>
          </cell>
        </row>
        <row r="853">
          <cell r="D853" t="str">
            <v>KK-CK Размеры диафрагменных расходомеров</v>
          </cell>
        </row>
        <row r="854">
          <cell r="D854" t="str">
            <v>KK-CN Рассчет уровень шума клапанов</v>
          </cell>
        </row>
        <row r="855">
          <cell r="D855" t="str">
            <v>KK-CS Функции автоматической системы безопасности - проектный отчет</v>
          </cell>
        </row>
        <row r="856">
          <cell r="D856" t="str">
            <v>KK-CV Размер регулирующего клапана</v>
          </cell>
        </row>
        <row r="857">
          <cell r="D857" t="str">
            <v xml:space="preserve">KK-DC Опоры и металлические рамы КИПиА </v>
          </cell>
        </row>
        <row r="858">
          <cell r="D858" t="str">
            <v xml:space="preserve">KK-DD Логические схемы и блок-схема </v>
          </cell>
        </row>
        <row r="859">
          <cell r="D859" t="str">
            <v>KK-DD Схемы электроснабжения</v>
          </cell>
        </row>
        <row r="860">
          <cell r="D860" t="str">
            <v>KK-DE План КИПиА</v>
          </cell>
        </row>
        <row r="861">
          <cell r="D861" t="str">
            <v>KK-DE План расположения системы измерительных приборов</v>
          </cell>
        </row>
        <row r="862">
          <cell r="D862" t="str">
            <v>KK-DG Планы и сечения разводки кабелей КИПиА</v>
          </cell>
        </row>
        <row r="863">
          <cell r="D863" t="str">
            <v>KK-DK Кабельная трасса подземного электрического кабеля и кабеля КИПиА</v>
          </cell>
        </row>
        <row r="864">
          <cell r="D864" t="str">
            <v>KK-DQ Планы расположения аппаратной</v>
          </cell>
        </row>
        <row r="865">
          <cell r="D865" t="str">
            <v>KK-DR Электрические соединения между панелями/шкафами</v>
          </cell>
        </row>
        <row r="866">
          <cell r="D866" t="str">
            <v>KK-DS Схематическое изображение графических дисплеев РСУ</v>
          </cell>
        </row>
        <row r="867">
          <cell r="D867" t="str">
            <v>KK-DS Контурные схемы ОВиКВ</v>
          </cell>
        </row>
        <row r="868">
          <cell r="D868" t="str">
            <v>KK-DT Монтажные схемы КИПиА</v>
          </cell>
        </row>
        <row r="869">
          <cell r="D869" t="str">
            <v>KK-EM Методы измерения (для Строительных работ)</v>
          </cell>
        </row>
        <row r="870">
          <cell r="D870" t="str">
            <v>KK-LC Количество и прайс-листы</v>
          </cell>
        </row>
        <row r="871">
          <cell r="D871" t="str">
            <v>KK-LI Габаритные размеры КИПиА</v>
          </cell>
        </row>
        <row r="872">
          <cell r="D872" t="str">
            <v xml:space="preserve">KK-LK Таблица полевых пневматических подключений </v>
          </cell>
        </row>
        <row r="873">
          <cell r="D873" t="str">
            <v>KK-LK Таблица подключения кабеля КИПиА</v>
          </cell>
        </row>
        <row r="874">
          <cell r="D874" t="str">
            <v>KK-LM Ведомость материалов</v>
          </cell>
        </row>
        <row r="875">
          <cell r="D875" t="str">
            <v>KK-LM Ведомость материалов</v>
          </cell>
        </row>
        <row r="876">
          <cell r="D876" t="str">
            <v>KK-LN Дополнительный</v>
          </cell>
        </row>
        <row r="877">
          <cell r="D877" t="str">
            <v>KK-LP Конфигурация системы управления</v>
          </cell>
        </row>
        <row r="878">
          <cell r="D878" t="str">
            <v>KK-LS Перечени КИПиА</v>
          </cell>
        </row>
        <row r="879">
          <cell r="D879" t="str">
            <v>KK-MR Заявки на материалы для малогабаритного оборудования и бестарные материалы</v>
          </cell>
        </row>
        <row r="880">
          <cell r="D880" t="str">
            <v>KK-MR Заявки на материалы для малогабаритного оборудования и бестарные материалы</v>
          </cell>
        </row>
        <row r="881">
          <cell r="D881" t="str">
            <v>KK-PQ План приемочного контроля строительной площадки (объекта)</v>
          </cell>
        </row>
        <row r="882">
          <cell r="D882" t="str">
            <v>KK-SC Ту на строительные работы, перечень кодов</v>
          </cell>
        </row>
        <row r="883">
          <cell r="D883" t="str">
            <v>KK-SE Ту позиций оборудования, специальные ТУ для блочного оборудования</v>
          </cell>
        </row>
        <row r="884">
          <cell r="D884" t="str">
            <v>KK-SG Основные принципы управления установкой</v>
          </cell>
        </row>
        <row r="885">
          <cell r="D885" t="str">
            <v>KK-SG Общая Ту на КИПиА</v>
          </cell>
        </row>
        <row r="886">
          <cell r="D886" t="str">
            <v>KK-SG Общая Ту для контрольно-измерительных систем</v>
          </cell>
        </row>
        <row r="887">
          <cell r="D887" t="str">
            <v xml:space="preserve">KK-SG Ту на КИПиА для поставки блочного оборудования  </v>
          </cell>
        </row>
        <row r="888">
          <cell r="D888" t="str">
            <v>KK-SG Общая ТУ на системы связи s</v>
          </cell>
        </row>
        <row r="889">
          <cell r="D889" t="str">
            <v>KK-SS Ту на поставку</v>
          </cell>
        </row>
        <row r="890">
          <cell r="D890" t="str">
            <v>KK-SS Ту на поставку</v>
          </cell>
        </row>
        <row r="891">
          <cell r="D891" t="str">
            <v>KK-VD Дополнительный</v>
          </cell>
        </row>
        <row r="892">
          <cell r="D892" t="str">
            <v>KK-WR Заявка на выполнение работ</v>
          </cell>
        </row>
        <row r="893">
          <cell r="D893" t="str">
            <v>L Строительные работы</v>
          </cell>
        </row>
        <row r="894">
          <cell r="D894" t="str">
            <v>LZ-BE Технический анализ тендерного предложения (оценка тендерного предложения)</v>
          </cell>
        </row>
        <row r="895">
          <cell r="D895" t="str">
            <v>LZ-DG Дополнительный</v>
          </cell>
        </row>
        <row r="896">
          <cell r="D896" t="str">
            <v>LZ-LD Дополнительный</v>
          </cell>
        </row>
        <row r="897">
          <cell r="D897" t="str">
            <v>LZ-PC Процедура координации работ на строительной площадке</v>
          </cell>
        </row>
        <row r="898">
          <cell r="D898" t="str">
            <v>LZ-PE Методы работы (для внешнего распределения)</v>
          </cell>
        </row>
        <row r="899">
          <cell r="D899" t="str">
            <v>LZ-PF План котроля монтажных работ</v>
          </cell>
        </row>
        <row r="900">
          <cell r="D900" t="str">
            <v>LZ-PF План подготовительных абот</v>
          </cell>
        </row>
        <row r="901">
          <cell r="D901" t="str">
            <v>LZ-PF Проект производства работ</v>
          </cell>
        </row>
        <row r="902">
          <cell r="D902" t="str">
            <v>LZ-PG График строительных работ</v>
          </cell>
        </row>
        <row r="903">
          <cell r="D903" t="str">
            <v>LZ-PL План по контролю качества на строительной площадке</v>
          </cell>
        </row>
        <row r="904">
          <cell r="D904" t="str">
            <v xml:space="preserve">LZ-PL Детальный план сроительства, исследования по подъемным операциям оснастки/тяжелых грузов, план элементов обустройства площадки </v>
          </cell>
        </row>
        <row r="905">
          <cell r="D905" t="str">
            <v xml:space="preserve">LZ-PL План по ОТБОС, план управления операциями по предотвращению ущерба </v>
          </cell>
        </row>
        <row r="906">
          <cell r="D906" t="str">
            <v>LZ-PM Методология проведения работ (если применяется)</v>
          </cell>
        </row>
        <row r="907">
          <cell r="D907" t="str">
            <v>LZ-PQ Методики приёмочного контроля строительной площадки</v>
          </cell>
        </row>
        <row r="908">
          <cell r="D908" t="str">
            <v>LZ-RC Отчет об испытаниях</v>
          </cell>
        </row>
        <row r="909">
          <cell r="D909" t="str">
            <v>LZ-RF Отчет на строительной площадке</v>
          </cell>
        </row>
        <row r="910">
          <cell r="D910" t="str">
            <v>LZ-RN Отчет о несоответствии</v>
          </cell>
        </row>
        <row r="911">
          <cell r="D911" t="str">
            <v>LZ-RP Контроль за выполнением работ- отчёт</v>
          </cell>
        </row>
        <row r="912">
          <cell r="D912" t="str">
            <v>LZ-RP Отчет о контроле затрат</v>
          </cell>
        </row>
        <row r="913">
          <cell r="D913" t="str">
            <v>LZ-RT Отчет по технологичности строительства.</v>
          </cell>
        </row>
        <row r="914">
          <cell r="D914" t="str">
            <v>LZ-RY Технологичность строительства</v>
          </cell>
        </row>
        <row r="915">
          <cell r="D915" t="str">
            <v>LZ-SG Общие ТУ по работам, выполняющимся на площадке</v>
          </cell>
        </row>
        <row r="916">
          <cell r="D916" t="str">
            <v>LZ-WS Объем работ (Требования к контракту для строительных работ)</v>
          </cell>
        </row>
        <row r="917">
          <cell r="D917" t="str">
            <v xml:space="preserve">M Управление проектом </v>
          </cell>
        </row>
        <row r="918">
          <cell r="D918" t="str">
            <v>MZ-PC Процедура координирования проекта (с Компанией)</v>
          </cell>
        </row>
        <row r="919">
          <cell r="D919" t="str">
            <v>MZ-PC Процедуры координации (взаимоотношения между сторонами, с субподрядчиками)</v>
          </cell>
        </row>
        <row r="920">
          <cell r="D920" t="str">
            <v>MZ-PL Схема организационной структуры проекта (OBS)</v>
          </cell>
        </row>
        <row r="921">
          <cell r="D921" t="str">
            <v>MZ-PL План реализации проекта (PEP)</v>
          </cell>
        </row>
        <row r="922">
          <cell r="D922" t="str">
            <v>N Электрическая часть</v>
          </cell>
        </row>
        <row r="923">
          <cell r="D923" t="str">
            <v>NN-BE Технический анализ тендерного предложения (оценка тендерного предложения)</v>
          </cell>
        </row>
        <row r="924">
          <cell r="D924" t="str">
            <v>NN-CX Расчеты по электрооборудованию</v>
          </cell>
        </row>
        <row r="925">
          <cell r="D925" t="str">
            <v>NN-DA Осветительная установка</v>
          </cell>
        </row>
        <row r="926">
          <cell r="D926" t="str">
            <v>NN-DA Энергоснабжение технологической установки (источник двигательной энергии)</v>
          </cell>
        </row>
        <row r="927">
          <cell r="D927" t="str">
            <v>NN-DA Свет оповещения о воздушной тревоге</v>
          </cell>
        </row>
        <row r="928">
          <cell r="D928" t="str">
            <v xml:space="preserve">NN-DA Подстанция...генеральный план и расположение основных компонентов </v>
          </cell>
        </row>
        <row r="929">
          <cell r="D929" t="str">
            <v>NN-DA Трансформаторные подстанции</v>
          </cell>
        </row>
        <row r="930">
          <cell r="D930" t="str">
            <v>NN-DB Принципиальные электрические схемы, графические (блочные) схемы</v>
          </cell>
        </row>
        <row r="931">
          <cell r="D931" t="str">
            <v xml:space="preserve">NN-DC Чертеж для  вводнйх данных по гражданскому строительству  </v>
          </cell>
        </row>
        <row r="932">
          <cell r="D932" t="str">
            <v>NN-DE Расположение электродвигателей</v>
          </cell>
        </row>
        <row r="933">
          <cell r="D933" t="str">
            <v>NN-DG Трасса кабеля</v>
          </cell>
        </row>
        <row r="934">
          <cell r="D934" t="str">
            <v>NN-DH Классификация опасных зон</v>
          </cell>
        </row>
        <row r="935">
          <cell r="D935" t="str">
            <v>NN-DK Система заземления и освещения</v>
          </cell>
        </row>
        <row r="936">
          <cell r="D936" t="str">
            <v>NN-DN Однолинейные и трехлинейные электрические схемы</v>
          </cell>
        </row>
        <row r="937">
          <cell r="D937" t="str">
            <v>NN-DR Клеммная колодка коммутатора  эл. / КИПиА</v>
          </cell>
        </row>
        <row r="938">
          <cell r="D938" t="str">
            <v>NN-DR Электрические соединения</v>
          </cell>
        </row>
        <row r="939">
          <cell r="D939" t="str">
            <v xml:space="preserve">NN-DW Типовые монтажные чертежи </v>
          </cell>
        </row>
        <row r="940">
          <cell r="D940" t="str">
            <v>NN-EM Методы измерения (для Строительных работ)</v>
          </cell>
        </row>
        <row r="941">
          <cell r="D941" t="str">
            <v>NN-LC Количество и прайс-листы</v>
          </cell>
        </row>
        <row r="942">
          <cell r="D942" t="str">
            <v>NN-LD Дополнительный</v>
          </cell>
        </row>
        <row r="943">
          <cell r="D943" t="str">
            <v>NN-LK Кабельный журнал (включая кабели КИПиА)</v>
          </cell>
        </row>
        <row r="944">
          <cell r="D944" t="str">
            <v>NN-LM Ведомость материалов</v>
          </cell>
        </row>
        <row r="945">
          <cell r="D945" t="str">
            <v>NN-LN Перечень потребителей электроэнергии  (Замечание: Код SH используется в  Базовом проекте)</v>
          </cell>
        </row>
        <row r="946">
          <cell r="D946" t="str">
            <v>NN-MR Заявки на материалы для малогабаритного оборудования и бестарные материалы</v>
          </cell>
        </row>
        <row r="947">
          <cell r="D947" t="str">
            <v>NN-PQ План приемочного контроля строительной площадки (объекта)</v>
          </cell>
        </row>
        <row r="948">
          <cell r="D948" t="str">
            <v>NN-SC Ту на строительные работы, перечень кодов</v>
          </cell>
        </row>
        <row r="949">
          <cell r="D949" t="str">
            <v>NN-SE ТУ на позиции</v>
          </cell>
        </row>
        <row r="950">
          <cell r="D950" t="str">
            <v>NN-SE Спцуиальная Ту для блочных установок</v>
          </cell>
        </row>
        <row r="951">
          <cell r="D951" t="str">
            <v>NN-SG Общая Ту на электродвигатели</v>
          </cell>
        </row>
        <row r="952">
          <cell r="D952" t="str">
            <v>NN-SG Общая ТУ на проектировку электрооборудования</v>
          </cell>
        </row>
        <row r="953">
          <cell r="D953" t="str">
            <v>NN-SG Выбор оборудования для опасных зон</v>
          </cell>
        </row>
        <row r="954">
          <cell r="D954" t="str">
            <v xml:space="preserve">NN-SG Общие Ту для электрических систем  </v>
          </cell>
        </row>
        <row r="955">
          <cell r="D955" t="str">
            <v xml:space="preserve">NN-SG Ту на требования к электрооборудованию для блочных установок </v>
          </cell>
        </row>
        <row r="956">
          <cell r="D956" t="str">
            <v>NN-SS Ту на поставку</v>
          </cell>
        </row>
        <row r="957">
          <cell r="D957" t="str">
            <v>NN-VD Дополнительный</v>
          </cell>
        </row>
        <row r="958">
          <cell r="D958" t="str">
            <v>NN-WR Заявка на выполнение работ</v>
          </cell>
        </row>
        <row r="959">
          <cell r="D959" t="str">
            <v xml:space="preserve">P Контроль исполнения проекта </v>
          </cell>
        </row>
        <row r="960">
          <cell r="D960" t="str">
            <v>PZ-PC Порядок и процесс контроля осуществления проекта</v>
          </cell>
        </row>
        <row r="961">
          <cell r="D961" t="str">
            <v>PZ-PC Изменения / Процедуры управления контрактами</v>
          </cell>
        </row>
        <row r="962">
          <cell r="D962" t="str">
            <v>PZ-PG План-график проектных работ (PSS)</v>
          </cell>
        </row>
        <row r="963">
          <cell r="D963" t="str">
            <v>PZ-PG Основной календарно-сетевой график проекта (PMS)</v>
          </cell>
        </row>
        <row r="964">
          <cell r="D964" t="str">
            <v>PZ-PG План-график работ по управлению проектом (PCS)</v>
          </cell>
        </row>
        <row r="965">
          <cell r="D965" t="str">
            <v>PZ-PW Структура декомпозиции работ</v>
          </cell>
        </row>
        <row r="966">
          <cell r="D966" t="str">
            <v>PZ-RP Недельный / ежемесячный отчет о ходе работ</v>
          </cell>
        </row>
        <row r="967">
          <cell r="D967" t="str">
            <v>Q Качество</v>
          </cell>
        </row>
        <row r="968">
          <cell r="D968" t="str">
            <v>QZ-AC План корректирующих мероприятий</v>
          </cell>
        </row>
        <row r="969">
          <cell r="D969" t="str">
            <v>QZ-AP План профилактических мероприятий</v>
          </cell>
        </row>
        <row r="970">
          <cell r="D970" t="str">
            <v>QZ-PL План контроля качества проекта</v>
          </cell>
        </row>
        <row r="971">
          <cell r="D971" t="str">
            <v>QZ-PL Программа проведения аудиторской проверки</v>
          </cell>
        </row>
        <row r="972">
          <cell r="D972" t="str">
            <v>QZ-RA Отчет о проверке</v>
          </cell>
        </row>
        <row r="973">
          <cell r="D973" t="str">
            <v>QZ-RN Отчет о несоответствии</v>
          </cell>
        </row>
        <row r="974">
          <cell r="D974" t="str">
            <v>QZ-RT Анализ системы управления</v>
          </cell>
        </row>
        <row r="975">
          <cell r="D975" t="str">
            <v>S Проектные требования по ОТБОС</v>
          </cell>
        </row>
        <row r="976">
          <cell r="D976" t="str">
            <v>SK-DA Общая ТУ системы обнаружения и сигнализации очагов пожара и загазованности</v>
          </cell>
        </row>
        <row r="977">
          <cell r="D977" t="str">
            <v>SK-DG Дополнительный</v>
          </cell>
        </row>
        <row r="978">
          <cell r="D978" t="str">
            <v>SK-FP Общая ТУ системы обнаружения и сигнализации очагов пожара и загазованности</v>
          </cell>
        </row>
        <row r="979">
          <cell r="D979" t="str">
            <v>SK-SG Общая спецификация по обнаружению пожара и загазованности</v>
          </cell>
        </row>
        <row r="980">
          <cell r="D980" t="str">
            <v>SS-BE Технический анализ тендерного предложения (оценка тендерного предложения)</v>
          </cell>
        </row>
        <row r="981">
          <cell r="D981" t="str">
            <v>SS-FP Опросные листы по противопожарному и защитному оборудованию</v>
          </cell>
        </row>
        <row r="982">
          <cell r="D982" t="str">
            <v>SS-LM Ведомость материалов</v>
          </cell>
        </row>
        <row r="983">
          <cell r="D983" t="str">
            <v>SS-MR Заявки на материалы для малогабаритного оборудования и бестарные материалы</v>
          </cell>
        </row>
        <row r="984">
          <cell r="D984" t="str">
            <v>SS-SE Ту на позиции  (если применяются)</v>
          </cell>
        </row>
        <row r="985">
          <cell r="D985" t="str">
            <v>SS-SS Ту на поставку</v>
          </cell>
        </row>
        <row r="986">
          <cell r="D986" t="str">
            <v>SS-VD Дополнительный</v>
          </cell>
        </row>
        <row r="987">
          <cell r="D987" t="str">
            <v>SX-CH Отчет по гидравлическим расчетам</v>
          </cell>
        </row>
        <row r="988">
          <cell r="D988" t="str">
            <v>SX-CN Схема распределения шумов</v>
          </cell>
        </row>
        <row r="989">
          <cell r="D989" t="str">
            <v xml:space="preserve">SX-DA План расположения противопожарного оборудования и обрудования безопасности </v>
          </cell>
        </row>
        <row r="990">
          <cell r="D990" t="str">
            <v>SX-DG Генеральный план пожарозащиты</v>
          </cell>
        </row>
        <row r="991">
          <cell r="D991" t="str">
            <v>SX-DH План расположения пожароопасной зоны</v>
          </cell>
        </row>
        <row r="992">
          <cell r="D992" t="str">
            <v>SZ-CH Отчет по гидравлическим рассчетам для систем пожаротушения</v>
          </cell>
        </row>
        <row r="993">
          <cell r="D993" t="str">
            <v>SZ-DG Дополнительный</v>
          </cell>
        </row>
        <row r="994">
          <cell r="D994" t="str">
            <v>SZ-DP Принципиальная схема технологического процесса</v>
          </cell>
        </row>
        <row r="995">
          <cell r="D995" t="str">
            <v>SZ-FP Шумоглушитель/противошумный экран - опросные листы</v>
          </cell>
        </row>
        <row r="996">
          <cell r="D996" t="str">
            <v>SZ-FP Опросные листы по ОВиКВ</v>
          </cell>
        </row>
        <row r="997">
          <cell r="D997" t="str">
            <v>SZ-LE Перечень оборудования</v>
          </cell>
        </row>
        <row r="998">
          <cell r="D998" t="str">
            <v>SZ-MS Инструкция по безопасности</v>
          </cell>
        </row>
        <row r="999">
          <cell r="D999" t="str">
            <v>SZ-PC Другие проектные процедуры по ОЗТОС</v>
          </cell>
        </row>
        <row r="1000">
          <cell r="D1000" t="str">
            <v>SZ-PL Планы проектировки ОЗТОС</v>
          </cell>
        </row>
        <row r="1001">
          <cell r="D1001" t="str">
            <v>SZ-RT Отчеты HAZOP</v>
          </cell>
        </row>
        <row r="1002">
          <cell r="D1002" t="str">
            <v>SZ-RT Отчеты по определению классов безопасности оборудования / отчеты о безопасности (если есть)</v>
          </cell>
        </row>
        <row r="1003">
          <cell r="D1003" t="str">
            <v>SZ-SG Опасные свойства веществ</v>
          </cell>
        </row>
        <row r="1004">
          <cell r="D1004" t="str">
            <v>SZ-SG Паспорта безопасности материала</v>
          </cell>
        </row>
        <row r="1005">
          <cell r="D1005" t="str">
            <v>SZ-SG Ту на огнестойкое покрытие</v>
          </cell>
        </row>
        <row r="1006">
          <cell r="D1006" t="str">
            <v>SZ-SG ТУ по уровню шума</v>
          </cell>
        </row>
        <row r="1007">
          <cell r="D1007" t="str">
            <v>SZ-SG Охрана здоровья, труда и окружающей среды - общая ТУ</v>
          </cell>
        </row>
        <row r="1008">
          <cell r="D1008" t="str">
            <v xml:space="preserve">SZ-SG Руководства для  безопасного размещения и строительства аппаратных  </v>
          </cell>
        </row>
        <row r="1009">
          <cell r="D1009" t="str">
            <v>SZ-SG Процедуры HAZOP / определения уровня безопасности (SIL )</v>
          </cell>
        </row>
        <row r="1010">
          <cell r="D1010" t="str">
            <v>V Детальное проектирование технологического процесса</v>
          </cell>
        </row>
        <row r="1011">
          <cell r="D1011" t="str">
            <v>V&amp;-FP Опросный лист на оборудование</v>
          </cell>
        </row>
        <row r="1012">
          <cell r="D1012" t="str">
            <v xml:space="preserve">V&amp;-FP особые позиции трубопровода и ловушек для пара - опросный лист </v>
          </cell>
        </row>
        <row r="1013">
          <cell r="D1013" t="str">
            <v xml:space="preserve">VB-FP Опросный лист на особые позиции трубопровода и паросепараторов  </v>
          </cell>
        </row>
        <row r="1014">
          <cell r="D1014" t="str">
            <v xml:space="preserve">VC-FP Опросный лист на особые позиции трубопровода и паросепараторов  </v>
          </cell>
        </row>
        <row r="1015">
          <cell r="D1015" t="str">
            <v xml:space="preserve">VD-FP Опросный лист на особые позиции трубопровода и паросепараторов  </v>
          </cell>
        </row>
        <row r="1016">
          <cell r="D1016" t="str">
            <v xml:space="preserve">VE-FP Опросный лист на особые позиции трубопровода и паросепараторов  </v>
          </cell>
        </row>
        <row r="1017">
          <cell r="D1017" t="str">
            <v xml:space="preserve">VF-FP Опросный лист на особые позиции трубопровода и паросепараторов  </v>
          </cell>
        </row>
        <row r="1018">
          <cell r="D1018" t="str">
            <v xml:space="preserve">VG-FP Опросный лист на особые позиции трубопровода и паросепараторов  </v>
          </cell>
        </row>
        <row r="1019">
          <cell r="D1019" t="str">
            <v xml:space="preserve">VH-FP Опросный лист на особые позиции трубопровода и паросепараторов  </v>
          </cell>
        </row>
        <row r="1020">
          <cell r="D1020" t="str">
            <v xml:space="preserve">VJ-FP Опросный лист на особые позиции трубопровода и паросепараторов  </v>
          </cell>
        </row>
        <row r="1021">
          <cell r="D1021" t="str">
            <v>VK-CB Предохранительный клапан и  предохранительные устройства - рассчеты</v>
          </cell>
        </row>
        <row r="1022">
          <cell r="D1022" t="str">
            <v>VK-CB Расчет эквивалентнойдлина / нагрузки для установки ПК / предохранительных устройств</v>
          </cell>
        </row>
        <row r="1023">
          <cell r="D1023" t="str">
            <v>VK-FP Предохранительный клапан и  предохранительные устройства - рассчеты</v>
          </cell>
        </row>
        <row r="1024">
          <cell r="D1024" t="str">
            <v>VK-FP Опросные листы по технологическому процессу, КИПиА, вертикальных труб</v>
          </cell>
        </row>
        <row r="1025">
          <cell r="D1025" t="str">
            <v xml:space="preserve">VN-LE Перечень оборудования и линий с электрообогревом </v>
          </cell>
        </row>
        <row r="1026">
          <cell r="D1026" t="str">
            <v>VN-LN Перечень источников и зон выбросов</v>
          </cell>
        </row>
        <row r="1027">
          <cell r="D1027" t="str">
            <v xml:space="preserve">VU-FP Катализатор / Химреагенты / Различные материалы - опросны лист </v>
          </cell>
        </row>
        <row r="1028">
          <cell r="D1028" t="str">
            <v xml:space="preserve">VR-FP Опросный лист на особые позиции трубопровода и паросепараторов  </v>
          </cell>
        </row>
        <row r="1029">
          <cell r="D1029" t="str">
            <v xml:space="preserve">VU-FP Опросные листы на катализаторы / химреагенты / различные материалы </v>
          </cell>
        </row>
        <row r="1030">
          <cell r="D1030" t="str">
            <v>VU-LP Сырье / Химреагенты / Катализатор - таблица потребления</v>
          </cell>
        </row>
        <row r="1031">
          <cell r="D1031" t="str">
            <v>VW-SG Спецификация  на покраску</v>
          </cell>
        </row>
        <row r="1032">
          <cell r="D1032" t="str">
            <v xml:space="preserve">VY-FP Опросный лист на особые позиции трубопровода и паросепараторов  </v>
          </cell>
        </row>
        <row r="1033">
          <cell r="D1033" t="str">
            <v>VZ-CP Тепловой баланс материалов</v>
          </cell>
        </row>
        <row r="1034">
          <cell r="D1034" t="str">
            <v>VZ-CP Различные расчёты процесса</v>
          </cell>
        </row>
        <row r="1035">
          <cell r="D1035" t="str">
            <v>VZ-DP Принципиальная схема технологического процесса</v>
          </cell>
        </row>
        <row r="1036">
          <cell r="D1036" t="str">
            <v>VZ-DP Блок-схема технологического процесса</v>
          </cell>
        </row>
        <row r="1037">
          <cell r="D1037" t="str">
            <v>VZ-DP Принципиальная схема технологического процесса по принятию мер предосторожности</v>
          </cell>
        </row>
        <row r="1038">
          <cell r="D1038" t="str">
            <v>VZ-DP Схема выбора материалов</v>
          </cell>
        </row>
        <row r="1039">
          <cell r="D1039" t="str">
            <v xml:space="preserve">VZ-FP Перечень технологических сред и требования к классам трубопровода  </v>
          </cell>
        </row>
        <row r="1040">
          <cell r="D1040" t="str">
            <v>VZ-LA Печень методов расчета</v>
          </cell>
        </row>
        <row r="1041">
          <cell r="D1041" t="str">
            <v>VZ-LE Перечень оборудования</v>
          </cell>
        </row>
        <row r="1042">
          <cell r="D1042" t="str">
            <v>VZ-LP Таблица потребления систем инж. обеспечения и сводка</v>
          </cell>
        </row>
        <row r="1043">
          <cell r="D1043" t="str">
            <v>VZ-LP Ав. сигнализация и уставка защиты на отключение- перечень</v>
          </cell>
        </row>
        <row r="1044">
          <cell r="D1044" t="str">
            <v>VZ-LP Перечень различных технологических процессов</v>
          </cell>
        </row>
        <row r="1045">
          <cell r="D1045" t="str">
            <v>VZ-LP Характеристики технологической жидкости на границах установки</v>
          </cell>
        </row>
        <row r="1046">
          <cell r="D1046" t="str">
            <v>VZ-LP Перечень опасных веществ</v>
          </cell>
        </row>
        <row r="1047">
          <cell r="D1047" t="str">
            <v>VZ-LS Перечень и характериситки выбросов (или стоков)</v>
          </cell>
        </row>
        <row r="1048">
          <cell r="D1048" t="str">
            <v>VZ-MA Расчетное руководство</v>
          </cell>
        </row>
        <row r="1049">
          <cell r="D1049" t="str">
            <v>VZ-MP Руководство по эксплуатации (если требуется)</v>
          </cell>
        </row>
        <row r="1050">
          <cell r="D1050" t="str">
            <v>VZ-MP Различная информация по эксплуатации</v>
          </cell>
        </row>
        <row r="1051">
          <cell r="D1051" t="str">
            <v>VZ-RC Отчет о коррозии</v>
          </cell>
        </row>
        <row r="1052">
          <cell r="D1052" t="str">
            <v>VZ-RT Дополнительный</v>
          </cell>
        </row>
        <row r="1053">
          <cell r="D1053" t="str">
            <v>VZ-SG Ту на покраску, циклы покраски</v>
          </cell>
        </row>
        <row r="1054">
          <cell r="D1054" t="str">
            <v>VZ-SG Описание технологического процесса</v>
          </cell>
        </row>
        <row r="1055">
          <cell r="D1055" t="str">
            <v>VZ-SG Описание систем КИПиА</v>
          </cell>
        </row>
        <row r="1056">
          <cell r="D1056" t="str">
            <v>VZ-SG Общие ТУ по коррозийной защите и  выбору матералов</v>
          </cell>
        </row>
        <row r="1057">
          <cell r="D1057" t="str">
            <v>VZ-SG основные принципы защиты от коррозии</v>
          </cell>
        </row>
        <row r="1058">
          <cell r="D1058" t="str">
            <v>VZ-SG Характеристики систем инженерного обеспечения и условия на площадке</v>
          </cell>
        </row>
        <row r="1059">
          <cell r="D1059" t="str">
            <v xml:space="preserve">VZ-SG Пояснительная записка по обеспечению безопасности технологического процесса </v>
          </cell>
        </row>
        <row r="1060">
          <cell r="D1060" t="str">
            <v>W Конструкция оборудования – системы инженерного обеспечения и лаборатория</v>
          </cell>
        </row>
        <row r="1061">
          <cell r="D1061" t="str">
            <v>W&amp;BE Технический анализ тендерного предложения (оценка тендерного предложения)</v>
          </cell>
        </row>
        <row r="1062">
          <cell r="D1062" t="str">
            <v>W&amp;FP Опросный лист оборудования систем инж. обеспечения</v>
          </cell>
        </row>
        <row r="1063">
          <cell r="D1063" t="str">
            <v>W&amp;MR Заявки на материалы</v>
          </cell>
        </row>
        <row r="1064">
          <cell r="D1064" t="str">
            <v>W&amp;SE Ту на позиции оборудования (блочное оборудование, пневмотранспорт, приспособления для затаривания в мешки, системы инженерного обеспечения,лаборатория)</v>
          </cell>
        </row>
        <row r="1065">
          <cell r="D1065" t="str">
            <v>W&amp;SS Ту на поставку</v>
          </cell>
        </row>
        <row r="1066">
          <cell r="D1066" t="str">
            <v>WB-BE Технический анализ тендерного предложения (оценка тендерного предложения)</v>
          </cell>
        </row>
        <row r="1067">
          <cell r="D1067" t="str">
            <v>WB-FP Опросный лист оборудования систем инженерного обеспечения</v>
          </cell>
        </row>
        <row r="1068">
          <cell r="D1068" t="str">
            <v>WB-MR Заявки на материалы</v>
          </cell>
        </row>
        <row r="1069">
          <cell r="D1069" t="str">
            <v>WB-SE Спецификации на позиции оборудования</v>
          </cell>
        </row>
        <row r="1070">
          <cell r="D1070" t="str">
            <v>WB-SS Спецификация на поставку</v>
          </cell>
        </row>
        <row r="1071">
          <cell r="D1071" t="str">
            <v>WB-VD Дополнительный</v>
          </cell>
        </row>
        <row r="1072">
          <cell r="D1072" t="str">
            <v>WD-BE Технический анализ тендерного предложения (оценка тендерного предложения)</v>
          </cell>
        </row>
        <row r="1073">
          <cell r="D1073" t="str">
            <v>WD-FP Опросный лист оборудования систем инженерного обеспечения</v>
          </cell>
        </row>
        <row r="1074">
          <cell r="D1074" t="str">
            <v>WD-SS Спецификация на поставку</v>
          </cell>
        </row>
        <row r="1075">
          <cell r="D1075" t="str">
            <v>WD-VD Дополнительный</v>
          </cell>
        </row>
        <row r="1076">
          <cell r="D1076" t="str">
            <v>WE-FP Опросный лист оборудования систем инженерного обеспечения</v>
          </cell>
        </row>
        <row r="1077">
          <cell r="D1077" t="str">
            <v>WG-FP Опросный лист оборудования систем инженерного обеспечения</v>
          </cell>
        </row>
        <row r="1078">
          <cell r="D1078" t="str">
            <v>WH-FP Опросный лист оборудования систем инженерного обеспечения</v>
          </cell>
        </row>
        <row r="1079">
          <cell r="D1079" t="str">
            <v>WK-FP Опросный лист оборудования систем инженерного обеспечения</v>
          </cell>
        </row>
        <row r="1080">
          <cell r="D1080" t="str">
            <v>WN-FP Опросный лист оборудования систем инженерного обеспечения</v>
          </cell>
        </row>
        <row r="1081">
          <cell r="D1081" t="str">
            <v>WP-FP Опросный лист оборудования систем инженерного обеспечения</v>
          </cell>
        </row>
        <row r="1082">
          <cell r="D1082" t="str">
            <v>WQ-FP Опросный лист лабораторного оборудования</v>
          </cell>
        </row>
        <row r="1083">
          <cell r="D1083" t="str">
            <v>WQ-MR Заявки на материалы</v>
          </cell>
        </row>
        <row r="1084">
          <cell r="D1084" t="str">
            <v>WQ-SS Спецификация на поставку</v>
          </cell>
        </row>
        <row r="1085">
          <cell r="D1085" t="str">
            <v>WU-FP Опросный лист на реагенты и катализаторы</v>
          </cell>
        </row>
        <row r="1086">
          <cell r="D1086" t="str">
            <v>WY-BE Технический анализ тендерного предложения (оценка тендерного предложения)</v>
          </cell>
        </row>
        <row r="1087">
          <cell r="D1087" t="str">
            <v>WY-FP Опросный лист оборудования систем инженерного обеспечения</v>
          </cell>
        </row>
        <row r="1088">
          <cell r="D1088" t="str">
            <v>WY-MR Заявки на материалы</v>
          </cell>
        </row>
        <row r="1089">
          <cell r="D1089" t="str">
            <v>WY-SE Спецификации на позиции оборудования</v>
          </cell>
        </row>
        <row r="1090">
          <cell r="D1090" t="str">
            <v>WY-SS Спецификация на поставку</v>
          </cell>
        </row>
        <row r="1091">
          <cell r="D1091" t="str">
            <v>WY-VD Дополнительный</v>
          </cell>
        </row>
        <row r="1092">
          <cell r="D1092" t="str">
            <v>WZ-CP Материально-тепловой баланс</v>
          </cell>
        </row>
        <row r="1093">
          <cell r="D1093" t="str">
            <v>WZ-DP Дополнительный</v>
          </cell>
        </row>
        <row r="1094">
          <cell r="D1094" t="str">
            <v>WZ-FP Опросный лист оборудования систем инженерного обеспечения</v>
          </cell>
        </row>
        <row r="1095">
          <cell r="D1095" t="str">
            <v>WZ-LM Ведомость материалов</v>
          </cell>
        </row>
        <row r="1096">
          <cell r="D1096" t="str">
            <v>WZ-LP Дополнительный</v>
          </cell>
        </row>
        <row r="1097">
          <cell r="D1097" t="str">
            <v>WZ-LS Дополнительный</v>
          </cell>
        </row>
        <row r="1098">
          <cell r="D1098" t="str">
            <v>WZ-MP Руководство по эксплуатации (если требуется)</v>
          </cell>
        </row>
        <row r="1099">
          <cell r="D1099" t="str">
            <v>WZ-SG Общие ТУ на поставку блочных установок</v>
          </cell>
        </row>
        <row r="1100">
          <cell r="D1100" t="str">
            <v>WZ-SG Ту на монтажные работы машинного оборудования наплощадке of assembly works at site of machinery</v>
          </cell>
        </row>
        <row r="1101">
          <cell r="D1101" t="str">
            <v xml:space="preserve">X Планы расположения и трубопровод </v>
          </cell>
        </row>
        <row r="1102">
          <cell r="D1102" t="str">
            <v>XH-LC Количество и прайс-листы</v>
          </cell>
        </row>
        <row r="1103">
          <cell r="D1103" t="str">
            <v>XH-LM Ведомость материалов</v>
          </cell>
        </row>
        <row r="1104">
          <cell r="D1104" t="str">
            <v>XH-LM Ведомость материалов трубопровода</v>
          </cell>
        </row>
        <row r="1105">
          <cell r="D1105" t="str">
            <v>XL-LC Сводные ведомости изоляционных материалов</v>
          </cell>
        </row>
        <row r="1106">
          <cell r="D1106" t="str">
            <v>XW-LC Сводная ведомость по окраске</v>
          </cell>
        </row>
        <row r="1107">
          <cell r="D1107" t="str">
            <v>XH-CL Расчет по анализу напряжений трубопровода - примечания</v>
          </cell>
        </row>
        <row r="1108">
          <cell r="D1108" t="str">
            <v>XH-CM Механические расчеты или отчет о проверке</v>
          </cell>
        </row>
        <row r="1109">
          <cell r="D1109" t="str">
            <v>XZ-DM Монтажно-технологические схемы (P&amp;ID)</v>
          </cell>
        </row>
        <row r="1110">
          <cell r="D1110" t="str">
            <v>XH-DL Изометрические схемы трубопровода</v>
          </cell>
        </row>
        <row r="1111">
          <cell r="D1111" t="str">
            <v>XH-LD Перечень изометрических схем трубопровода</v>
          </cell>
        </row>
        <row r="1112">
          <cell r="D1112" t="str">
            <v xml:space="preserve">XH-LD Перечень опор трубопровода, чертежей опор трубопровода и опросные листы </v>
          </cell>
        </row>
        <row r="1113">
          <cell r="D1113" t="str">
            <v>XH-LD Перечень опросных листов по обогреву манифольдов</v>
          </cell>
        </row>
        <row r="1114">
          <cell r="D1114" t="str">
            <v>XH-LE перечень специальных элементов трубопровода</v>
          </cell>
        </row>
        <row r="1115">
          <cell r="D1115" t="str">
            <v>XH-LL Перечень линий</v>
          </cell>
        </row>
        <row r="1116">
          <cell r="D1116" t="str">
            <v xml:space="preserve">XH-LL Перечень линий, подлежащих электрообогреву  </v>
          </cell>
        </row>
        <row r="1117">
          <cell r="D1117" t="str">
            <v>XH-LP Перечень опросных листов по обогреву манифольдов</v>
          </cell>
        </row>
        <row r="1118">
          <cell r="D1118" t="str">
            <v>XH-LP Сводная ведомость опор</v>
          </cell>
        </row>
        <row r="1119">
          <cell r="D1119" t="str">
            <v>XH-LP Другие ТУ на опоры</v>
          </cell>
        </row>
        <row r="1120">
          <cell r="D1120" t="str">
            <v>XH-LX ТУ компонентов трубопровода - отчеты</v>
          </cell>
        </row>
        <row r="1121">
          <cell r="D1121" t="str">
            <v>XH-MR Заявки на материалы для особых позиций и бестарных материалов</v>
          </cell>
        </row>
        <row r="1122">
          <cell r="D1122" t="str">
            <v>XZ-WR Выполнение работ (Механическ., Изоляция, Покраска)</v>
          </cell>
        </row>
        <row r="1123">
          <cell r="D1123" t="str">
            <v>XH-DA Монтажные чертежи трубопровода  - ситуационный план</v>
          </cell>
        </row>
        <row r="1124">
          <cell r="D1124" t="str">
            <v>XH-DA Монтажные чертежи трубопроводаs</v>
          </cell>
        </row>
        <row r="1125">
          <cell r="D1125" t="str">
            <v>XH-DA Прокладка трубопровода</v>
          </cell>
        </row>
        <row r="1126">
          <cell r="D1126" t="str">
            <v>XI-DU однолинейная схема (Вспом.) конструкции</v>
          </cell>
        </row>
        <row r="1127">
          <cell r="D1127" t="str">
            <v>XI-DU Однолинейная схема металлоконструкций</v>
          </cell>
        </row>
        <row r="1128">
          <cell r="D1128" t="str">
            <v>XX-DE План расположения оборудования (генплан установки)</v>
          </cell>
        </row>
        <row r="1129">
          <cell r="D1129" t="str">
            <v>XX-DG Общая схема (план площадки)</v>
          </cell>
        </row>
        <row r="1130">
          <cell r="D1130" t="str">
            <v>XX-DG Разрезы дорог</v>
          </cell>
        </row>
        <row r="1131">
          <cell r="D1131" t="str">
            <v>XH-DC Строительные чертежи опор трубопровода</v>
          </cell>
        </row>
        <row r="1132">
          <cell r="D1132" t="str">
            <v>XH-DC Опросный лист специальных элементов трубопровода</v>
          </cell>
        </row>
        <row r="1133">
          <cell r="D1133" t="str">
            <v>XH-BE Технический анализ тендерного предложения (оценка тендерного предложения)</v>
          </cell>
        </row>
        <row r="1134">
          <cell r="D1134" t="str">
            <v xml:space="preserve">XH-RF Форма замечаний после рассмотрения процедур по сварке </v>
          </cell>
        </row>
        <row r="1135">
          <cell r="D1135" t="str">
            <v>XZ-RM Отчет о технической оценке материалов</v>
          </cell>
        </row>
        <row r="1136">
          <cell r="D1136" t="str">
            <v>XH-SE ТУ на позиции</v>
          </cell>
        </row>
        <row r="1137">
          <cell r="D1137" t="str">
            <v>XH-SG Ту на опоры трубопровода</v>
          </cell>
        </row>
        <row r="1138">
          <cell r="D1138" t="str">
            <v xml:space="preserve">XH-SG Изготовление трубопровода и монтаж - общая ТУ  </v>
          </cell>
        </row>
        <row r="1139">
          <cell r="D1139" t="str">
            <v xml:space="preserve">XH-SG Общая ТУ на проверку под давлением трубопроводов  </v>
          </cell>
        </row>
        <row r="1140">
          <cell r="D1140" t="str">
            <v>XH-SL Ту на материалы трубопровода</v>
          </cell>
        </row>
        <row r="1141">
          <cell r="D1141" t="str">
            <v>XH-SL Технические условия проектирования типового монтажа трубопровода</v>
          </cell>
        </row>
        <row r="1142">
          <cell r="D1142" t="str">
            <v>XH-SS Ту на поставку</v>
          </cell>
        </row>
        <row r="1143">
          <cell r="D1143" t="str">
            <v>XH-ST ТУ на размеры компонентов трубопровода</v>
          </cell>
        </row>
        <row r="1144">
          <cell r="D1144" t="str">
            <v>XH-SW Ту на сварку трубопровода</v>
          </cell>
        </row>
        <row r="1145">
          <cell r="D1145" t="str">
            <v>XL-SG Общая ТУ по изоляции</v>
          </cell>
        </row>
        <row r="1146">
          <cell r="D1146" t="str">
            <v>XZ-SG План расположения и исходные данные проектирования трубопровода</v>
          </cell>
        </row>
        <row r="1147">
          <cell r="D1147" t="str">
            <v>XZ-SG ТУ положительной идентификации материала, прочие общие ТУ</v>
          </cell>
        </row>
        <row r="1148">
          <cell r="D1148" t="str">
            <v>XZ-SW Ту на сварку оборудования</v>
          </cell>
        </row>
        <row r="1149">
          <cell r="D1149" t="str">
            <v>XH-DA расположение линий у границ установки</v>
          </cell>
        </row>
        <row r="1150">
          <cell r="D1150" t="str">
            <v>XZ-EM Методы определения (для Строительных работ)</v>
          </cell>
        </row>
        <row r="1151">
          <cell r="D1151" t="str">
            <v>XZ-PQ План приемочного контроля строительной площадки (объекта)</v>
          </cell>
        </row>
        <row r="1152">
          <cell r="D1152" t="str">
            <v>XZ-SC Ту на строительные работы, перечень кодов</v>
          </cell>
        </row>
        <row r="1153">
          <cell r="D1153" t="str">
            <v>XZ-PR Внутренние проектные процедуры</v>
          </cell>
        </row>
        <row r="1154">
          <cell r="D1154" t="str">
            <v xml:space="preserve">Y Инженерно-техническое обеспечение проекта </v>
          </cell>
        </row>
        <row r="1155">
          <cell r="D1155" t="str">
            <v>YZ-SG Исходные даные для проектирования</v>
          </cell>
        </row>
        <row r="1156">
          <cell r="D1156" t="str">
            <v>YZ-LD Индексный указатель документа (перечень отчетных данных)</v>
          </cell>
        </row>
        <row r="1157">
          <cell r="D1157" t="str">
            <v>YZ-LD Таблица распределения документов по отделам проекта</v>
          </cell>
        </row>
        <row r="1158">
          <cell r="D1158" t="str">
            <v>YZ-LE Перечень оборудования</v>
          </cell>
        </row>
        <row r="1159">
          <cell r="D1159" t="str">
            <v>YZ-SR ТУ по инженерно-техническим службам</v>
          </cell>
        </row>
        <row r="1160">
          <cell r="D1160" t="str">
            <v>YZ-PC Система процедур координации (между техническими центрами)</v>
          </cell>
        </row>
        <row r="1161">
          <cell r="D1161" t="str">
            <v>YZ-PC Проектная документация по процедурам управления</v>
          </cell>
        </row>
        <row r="1162">
          <cell r="D1162" t="str">
            <v>Z Закупка / контроль и испытания / перевозки / координация МТС проекта / работы по субподрядам</v>
          </cell>
        </row>
        <row r="1163">
          <cell r="D1163" t="str">
            <v>ZZ-BP Условия закупки</v>
          </cell>
        </row>
        <row r="1164">
          <cell r="D1164" t="str">
            <v>ZZ-RC Отчет о проверке (включая  отчет прединспекционного совещания)</v>
          </cell>
        </row>
        <row r="1165">
          <cell r="D1165" t="str">
            <v>ZZ-RP Отчет о контроле выполнения поставок</v>
          </cell>
        </row>
        <row r="1166">
          <cell r="D1166" t="str">
            <v>ZZ-PC Порядок выполнения снабжения (контроль)</v>
          </cell>
        </row>
        <row r="1167">
          <cell r="D1167" t="str">
            <v>ZZ-WR Заявка на выполнение работ</v>
          </cell>
        </row>
        <row r="1168">
          <cell r="D1168" t="str">
            <v>ZZ-SG Ту на упаковку</v>
          </cell>
        </row>
        <row r="1169">
          <cell r="D1169" t="str">
            <v xml:space="preserve">ZZ-PC Процедуры поставки и транспортироки на площадку , тяжелого оборудования и оборудвоания завышенного габарита </v>
          </cell>
        </row>
        <row r="1170">
          <cell r="D1170" t="str">
            <v>ZZ-PL Способ транспортировки</v>
          </cell>
        </row>
        <row r="1171">
          <cell r="D1171" t="str">
            <v>ZZ-LR Перечень запасных частей на двухлетний период эксплуатации</v>
          </cell>
        </row>
        <row r="1172">
          <cell r="D1172" t="str">
            <v>ZZ-LV Перечень Поставщиков (редакция договорного перечня)</v>
          </cell>
        </row>
        <row r="1173">
          <cell r="D1173" t="str">
            <v>ZZ-PS Отчеты по материально-техническому обеспечению (график доставки и т.д.)</v>
          </cell>
        </row>
        <row r="1174">
          <cell r="D1174" t="str">
            <v>ZZ-PC Процедуры по материально-техническому снабжению</v>
          </cell>
        </row>
        <row r="1175">
          <cell r="D1175" t="str">
            <v>ZZ-PL План реализации материально-технического обеспечения (включая инспекторские проверки)</v>
          </cell>
        </row>
        <row r="1176">
          <cell r="D1176" t="str">
            <v>ZZ-LV Перечень субподрядчиков (редакция договорного перечня)</v>
          </cell>
        </row>
        <row r="1177">
          <cell r="D1177" t="str">
            <v>ZZ-BP Условия контракта</v>
          </cell>
        </row>
        <row r="1178">
          <cell r="D1178" t="str">
            <v>ZZ-PL План субподрядных работ</v>
          </cell>
        </row>
        <row r="1179">
          <cell r="D1179" t="str">
            <v>_ _-LD Перечень документов (указатель)</v>
          </cell>
        </row>
        <row r="1180">
          <cell r="D1180" t="str">
            <v>_ _-PM Методология проведения работ (если применяется)</v>
          </cell>
        </row>
        <row r="1181">
          <cell r="D1181" t="str">
            <v>_ _-RA Отчет о проверке</v>
          </cell>
        </row>
        <row r="1182">
          <cell r="D1182" t="str">
            <v>_ _-RA Аттестациия Поставщика/Субподрядчик а (для квалификационного отбора)</v>
          </cell>
        </row>
        <row r="1183">
          <cell r="D1183" t="str">
            <v>_ _-RN Отчет о несоответствии</v>
          </cell>
        </row>
        <row r="1184">
          <cell r="D1184" t="str">
            <v>_ _-RT Оценка риска (если применяется)</v>
          </cell>
        </row>
        <row r="1185">
          <cell r="D1185" t="str">
            <v>_ _-RT Технический отчет (если применяется)</v>
          </cell>
        </row>
      </sheetData>
      <sheetData sheetId="9"/>
      <sheetData sheetId="10"/>
      <sheetData sheetId="11"/>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9"/>
  <sheetViews>
    <sheetView view="pageBreakPreview" zoomScale="55" zoomScaleNormal="100" zoomScaleSheetLayoutView="55" zoomScalePageLayoutView="85" workbookViewId="0">
      <selection activeCell="I39" sqref="I39:J39"/>
    </sheetView>
  </sheetViews>
  <sheetFormatPr defaultRowHeight="15" x14ac:dyDescent="0.25"/>
  <cols>
    <col min="1" max="1" width="7.85546875" style="1" customWidth="1"/>
    <col min="2" max="2" width="15.7109375" style="1" customWidth="1"/>
    <col min="3" max="3" width="12.7109375" style="1" customWidth="1"/>
    <col min="4" max="4" width="13.7109375" style="1" customWidth="1"/>
    <col min="5" max="5" width="17.28515625" style="1" customWidth="1"/>
    <col min="6" max="6" width="9.85546875" style="1" customWidth="1"/>
    <col min="7" max="7" width="13.85546875" style="1" customWidth="1"/>
    <col min="8" max="8" width="14.7109375" style="1" customWidth="1"/>
    <col min="9" max="9" width="9.7109375" style="1" customWidth="1"/>
    <col min="10" max="10" width="9.7109375" style="4" customWidth="1"/>
    <col min="11" max="11" width="5.42578125" style="1" customWidth="1"/>
    <col min="12" max="12" width="2.42578125" style="1" customWidth="1"/>
    <col min="13" max="13" width="4.5703125" style="1" customWidth="1"/>
    <col min="14" max="14" width="9.140625" style="32"/>
    <col min="15" max="16384" width="9.140625" style="1"/>
  </cols>
  <sheetData>
    <row r="1" spans="1:14" ht="15" customHeight="1" x14ac:dyDescent="0.25">
      <c r="A1" s="52" t="s">
        <v>0</v>
      </c>
      <c r="B1" s="52"/>
      <c r="C1" s="53"/>
      <c r="D1" s="53"/>
      <c r="E1" s="53"/>
      <c r="F1" s="53"/>
      <c r="G1" s="41" t="s">
        <v>65</v>
      </c>
      <c r="H1" s="61" t="s">
        <v>66</v>
      </c>
      <c r="I1" s="61"/>
      <c r="J1" s="61"/>
      <c r="K1" s="21"/>
    </row>
    <row r="2" spans="1:14" ht="45" customHeight="1" x14ac:dyDescent="0.25">
      <c r="A2" s="52"/>
      <c r="B2" s="52"/>
      <c r="C2" s="53"/>
      <c r="D2" s="53"/>
      <c r="E2" s="53"/>
      <c r="F2" s="53"/>
      <c r="G2" s="41"/>
      <c r="H2" s="61"/>
      <c r="I2" s="61"/>
      <c r="J2" s="61"/>
      <c r="K2" s="21"/>
    </row>
    <row r="3" spans="1:14" ht="15" customHeight="1" x14ac:dyDescent="0.25">
      <c r="A3" s="52" t="s">
        <v>1</v>
      </c>
      <c r="B3" s="52"/>
      <c r="C3" s="58" t="s">
        <v>67</v>
      </c>
      <c r="D3" s="58"/>
      <c r="E3" s="58"/>
      <c r="F3" s="58"/>
      <c r="G3" s="42" t="s">
        <v>2</v>
      </c>
      <c r="H3" s="62" t="s">
        <v>70</v>
      </c>
      <c r="I3" s="62"/>
      <c r="J3" s="62"/>
      <c r="K3" s="21"/>
    </row>
    <row r="4" spans="1:14" ht="15" customHeight="1" x14ac:dyDescent="0.25">
      <c r="A4" s="52" t="s">
        <v>64</v>
      </c>
      <c r="B4" s="52"/>
      <c r="C4" s="60" t="s">
        <v>62</v>
      </c>
      <c r="D4" s="60"/>
      <c r="E4" s="60"/>
      <c r="F4" s="60"/>
      <c r="G4" s="40" t="s">
        <v>68</v>
      </c>
      <c r="H4" s="63"/>
      <c r="I4" s="63"/>
      <c r="J4" s="63"/>
      <c r="K4" s="21"/>
    </row>
    <row r="5" spans="1:14" ht="15" customHeight="1" x14ac:dyDescent="0.25">
      <c r="A5" s="59" t="s">
        <v>108</v>
      </c>
      <c r="B5" s="59"/>
      <c r="C5" s="51" t="s">
        <v>109</v>
      </c>
      <c r="D5" s="51"/>
      <c r="E5" s="50"/>
      <c r="F5" s="50"/>
      <c r="G5" s="40" t="s">
        <v>69</v>
      </c>
      <c r="H5" s="63"/>
      <c r="I5" s="63"/>
      <c r="J5" s="63"/>
      <c r="K5" s="21"/>
    </row>
    <row r="6" spans="1:14" ht="15" customHeight="1" x14ac:dyDescent="0.25">
      <c r="A6" s="52"/>
      <c r="B6" s="52"/>
      <c r="C6" s="53"/>
      <c r="D6" s="53"/>
      <c r="E6" s="53"/>
      <c r="F6" s="53"/>
      <c r="G6" s="38"/>
      <c r="H6" s="37"/>
      <c r="I6" s="64"/>
      <c r="J6" s="64"/>
      <c r="K6" s="21"/>
    </row>
    <row r="7" spans="1:14" ht="15" customHeight="1" x14ac:dyDescent="0.25">
      <c r="A7" s="57" t="s">
        <v>42</v>
      </c>
      <c r="B7" s="57"/>
      <c r="C7" s="57"/>
      <c r="D7" s="57"/>
      <c r="E7" s="57"/>
      <c r="F7" s="57"/>
      <c r="G7" s="57"/>
      <c r="H7" s="57"/>
      <c r="I7" s="57"/>
      <c r="J7" s="57"/>
      <c r="K7" s="21"/>
    </row>
    <row r="8" spans="1:14" ht="15.75" customHeight="1" x14ac:dyDescent="0.25">
      <c r="A8" s="57" t="s">
        <v>61</v>
      </c>
      <c r="B8" s="57"/>
      <c r="C8" s="57"/>
      <c r="D8" s="57"/>
      <c r="E8" s="57"/>
      <c r="F8" s="57"/>
      <c r="G8" s="57"/>
      <c r="H8" s="57"/>
      <c r="I8" s="57"/>
      <c r="J8" s="57"/>
      <c r="K8" s="21"/>
    </row>
    <row r="9" spans="1:14" ht="30.75" customHeight="1" x14ac:dyDescent="0.25">
      <c r="A9" s="39" t="s">
        <v>4</v>
      </c>
      <c r="B9" s="55" t="s">
        <v>5</v>
      </c>
      <c r="C9" s="55"/>
      <c r="D9" s="55"/>
      <c r="E9" s="39" t="s">
        <v>6</v>
      </c>
      <c r="F9" s="39" t="s">
        <v>7</v>
      </c>
      <c r="G9" s="55" t="s">
        <v>8</v>
      </c>
      <c r="H9" s="55"/>
      <c r="I9" s="39" t="s">
        <v>9</v>
      </c>
      <c r="J9" s="35" t="s">
        <v>10</v>
      </c>
    </row>
    <row r="10" spans="1:14" ht="12.75" customHeight="1" x14ac:dyDescent="0.25">
      <c r="A10" s="39">
        <v>1</v>
      </c>
      <c r="B10" s="55">
        <v>2</v>
      </c>
      <c r="C10" s="55"/>
      <c r="D10" s="55"/>
      <c r="E10" s="39">
        <v>3</v>
      </c>
      <c r="F10" s="39">
        <v>4</v>
      </c>
      <c r="G10" s="55">
        <v>5</v>
      </c>
      <c r="H10" s="55"/>
      <c r="I10" s="39">
        <v>6</v>
      </c>
      <c r="J10" s="35" t="s">
        <v>63</v>
      </c>
    </row>
    <row r="11" spans="1:14" ht="39" customHeight="1" x14ac:dyDescent="0.2">
      <c r="A11" s="39">
        <v>1</v>
      </c>
      <c r="B11" s="54" t="s">
        <v>71</v>
      </c>
      <c r="C11" s="54"/>
      <c r="D11" s="54"/>
      <c r="E11" s="48" t="s">
        <v>75</v>
      </c>
      <c r="F11" s="34">
        <v>42979</v>
      </c>
      <c r="G11" s="55" t="s">
        <v>72</v>
      </c>
      <c r="H11" s="55"/>
      <c r="I11" s="36">
        <v>2</v>
      </c>
      <c r="J11" s="39" t="str">
        <f>IF(I11=1,M11,N11)</f>
        <v>1-2</v>
      </c>
      <c r="K11" s="29" t="s">
        <v>59</v>
      </c>
      <c r="L11" s="30" t="s">
        <v>60</v>
      </c>
      <c r="M11" s="31">
        <f>K11+I11-1</f>
        <v>2</v>
      </c>
      <c r="N11" s="33" t="str">
        <f>CONCATENATE(K11,L11,M11)</f>
        <v>1-2</v>
      </c>
    </row>
    <row r="12" spans="1:14" ht="39" customHeight="1" x14ac:dyDescent="0.2">
      <c r="A12" s="44">
        <f>A11+1</f>
        <v>2</v>
      </c>
      <c r="B12" s="54" t="s">
        <v>73</v>
      </c>
      <c r="C12" s="54"/>
      <c r="D12" s="54"/>
      <c r="E12" s="48" t="s">
        <v>74</v>
      </c>
      <c r="F12" s="34">
        <v>43160</v>
      </c>
      <c r="G12" s="55" t="s">
        <v>62</v>
      </c>
      <c r="H12" s="55"/>
      <c r="I12" s="36">
        <v>3</v>
      </c>
      <c r="J12" s="44" t="str">
        <f t="shared" ref="J12" si="0">IF(I12=1,M12,N12)</f>
        <v>3-5</v>
      </c>
      <c r="K12" s="29">
        <f>M11+1</f>
        <v>3</v>
      </c>
      <c r="L12" s="30" t="s">
        <v>60</v>
      </c>
      <c r="M12" s="31">
        <f>M11+I12</f>
        <v>5</v>
      </c>
      <c r="N12" s="33" t="str">
        <f>CONCATENATE(K12,L12,M12)</f>
        <v>3-5</v>
      </c>
    </row>
    <row r="13" spans="1:14" ht="25.5" customHeight="1" x14ac:dyDescent="0.2">
      <c r="A13" s="49">
        <f t="shared" ref="A13:A28" si="1">A12+1</f>
        <v>3</v>
      </c>
      <c r="B13" s="54" t="s">
        <v>99</v>
      </c>
      <c r="C13" s="54"/>
      <c r="D13" s="54"/>
      <c r="E13" s="44">
        <v>15</v>
      </c>
      <c r="F13" s="34">
        <v>43126</v>
      </c>
      <c r="G13" s="55" t="s">
        <v>76</v>
      </c>
      <c r="H13" s="55"/>
      <c r="I13" s="36">
        <v>1</v>
      </c>
      <c r="J13" s="48">
        <f t="shared" ref="J13" si="2">IF(I13=1,M13,N13)</f>
        <v>6</v>
      </c>
      <c r="K13" s="29">
        <f t="shared" ref="K13" si="3">M12+1</f>
        <v>6</v>
      </c>
      <c r="L13" s="30" t="s">
        <v>60</v>
      </c>
      <c r="M13" s="31">
        <f t="shared" ref="M13" si="4">M12+I13</f>
        <v>6</v>
      </c>
      <c r="N13" s="33" t="str">
        <f t="shared" ref="N13" si="5">CONCATENATE(K13,L13,M13)</f>
        <v>6-6</v>
      </c>
    </row>
    <row r="14" spans="1:14" ht="54.75" customHeight="1" x14ac:dyDescent="0.2">
      <c r="A14" s="49">
        <f t="shared" si="1"/>
        <v>4</v>
      </c>
      <c r="B14" s="56" t="s">
        <v>100</v>
      </c>
      <c r="C14" s="56"/>
      <c r="D14" s="56"/>
      <c r="E14" s="44">
        <v>163</v>
      </c>
      <c r="F14" s="34">
        <v>42948</v>
      </c>
      <c r="G14" s="55" t="s">
        <v>76</v>
      </c>
      <c r="H14" s="55"/>
      <c r="I14" s="36">
        <v>1</v>
      </c>
      <c r="J14" s="48">
        <f t="shared" ref="J14:J18" si="6">IF(I14=1,M14,N14)</f>
        <v>7</v>
      </c>
      <c r="K14" s="29">
        <f t="shared" ref="K14:K18" si="7">M13+1</f>
        <v>7</v>
      </c>
      <c r="L14" s="30" t="s">
        <v>60</v>
      </c>
      <c r="M14" s="31">
        <f t="shared" ref="M14:M18" si="8">M13+I14</f>
        <v>7</v>
      </c>
      <c r="N14" s="33" t="str">
        <f t="shared" ref="N14:N18" si="9">CONCATENATE(K14,L14,M14)</f>
        <v>7-7</v>
      </c>
    </row>
    <row r="15" spans="1:14" ht="22.5" customHeight="1" x14ac:dyDescent="0.2">
      <c r="A15" s="49">
        <f t="shared" si="1"/>
        <v>5</v>
      </c>
      <c r="B15" s="56" t="s">
        <v>101</v>
      </c>
      <c r="C15" s="56"/>
      <c r="D15" s="56"/>
      <c r="E15" s="46">
        <v>146</v>
      </c>
      <c r="F15" s="34">
        <v>42948</v>
      </c>
      <c r="G15" s="55" t="s">
        <v>76</v>
      </c>
      <c r="H15" s="55"/>
      <c r="I15" s="36">
        <v>1</v>
      </c>
      <c r="J15" s="48">
        <f t="shared" si="6"/>
        <v>8</v>
      </c>
      <c r="K15" s="29">
        <f t="shared" si="7"/>
        <v>8</v>
      </c>
      <c r="L15" s="30" t="s">
        <v>60</v>
      </c>
      <c r="M15" s="31">
        <f t="shared" si="8"/>
        <v>8</v>
      </c>
      <c r="N15" s="33" t="str">
        <f t="shared" si="9"/>
        <v>8-8</v>
      </c>
    </row>
    <row r="16" spans="1:14" ht="36.75" customHeight="1" x14ac:dyDescent="0.2">
      <c r="A16" s="49">
        <f t="shared" si="1"/>
        <v>6</v>
      </c>
      <c r="B16" s="56" t="s">
        <v>102</v>
      </c>
      <c r="C16" s="56"/>
      <c r="D16" s="56"/>
      <c r="E16" s="47">
        <v>147</v>
      </c>
      <c r="F16" s="34">
        <v>42948</v>
      </c>
      <c r="G16" s="55" t="s">
        <v>76</v>
      </c>
      <c r="H16" s="55"/>
      <c r="I16" s="36">
        <v>1</v>
      </c>
      <c r="J16" s="48">
        <f t="shared" si="6"/>
        <v>9</v>
      </c>
      <c r="K16" s="29">
        <f t="shared" si="7"/>
        <v>9</v>
      </c>
      <c r="L16" s="30" t="s">
        <v>60</v>
      </c>
      <c r="M16" s="31">
        <f t="shared" si="8"/>
        <v>9</v>
      </c>
      <c r="N16" s="33" t="str">
        <f t="shared" si="9"/>
        <v>9-9</v>
      </c>
    </row>
    <row r="17" spans="1:14" ht="27.75" customHeight="1" x14ac:dyDescent="0.2">
      <c r="A17" s="49">
        <f t="shared" si="1"/>
        <v>7</v>
      </c>
      <c r="B17" s="54" t="s">
        <v>103</v>
      </c>
      <c r="C17" s="54"/>
      <c r="D17" s="54"/>
      <c r="E17" s="47">
        <v>149</v>
      </c>
      <c r="F17" s="34">
        <v>42948</v>
      </c>
      <c r="G17" s="55" t="s">
        <v>76</v>
      </c>
      <c r="H17" s="55"/>
      <c r="I17" s="36">
        <v>1</v>
      </c>
      <c r="J17" s="48">
        <f t="shared" si="6"/>
        <v>10</v>
      </c>
      <c r="K17" s="29">
        <f t="shared" si="7"/>
        <v>10</v>
      </c>
      <c r="L17" s="30" t="s">
        <v>60</v>
      </c>
      <c r="M17" s="31">
        <f t="shared" si="8"/>
        <v>10</v>
      </c>
      <c r="N17" s="33" t="str">
        <f t="shared" si="9"/>
        <v>10-10</v>
      </c>
    </row>
    <row r="18" spans="1:14" ht="37.5" customHeight="1" x14ac:dyDescent="0.2">
      <c r="A18" s="49">
        <f t="shared" si="1"/>
        <v>8</v>
      </c>
      <c r="B18" s="56" t="s">
        <v>104</v>
      </c>
      <c r="C18" s="56"/>
      <c r="D18" s="56"/>
      <c r="E18" s="45">
        <v>112</v>
      </c>
      <c r="F18" s="34">
        <v>42887</v>
      </c>
      <c r="G18" s="55" t="s">
        <v>76</v>
      </c>
      <c r="H18" s="55"/>
      <c r="I18" s="36">
        <v>1</v>
      </c>
      <c r="J18" s="48">
        <f t="shared" si="6"/>
        <v>11</v>
      </c>
      <c r="K18" s="29">
        <f t="shared" si="7"/>
        <v>11</v>
      </c>
      <c r="L18" s="30" t="s">
        <v>60</v>
      </c>
      <c r="M18" s="31">
        <f t="shared" si="8"/>
        <v>11</v>
      </c>
      <c r="N18" s="33" t="str">
        <f t="shared" si="9"/>
        <v>11-11</v>
      </c>
    </row>
    <row r="19" spans="1:14" ht="41.25" customHeight="1" x14ac:dyDescent="0.2">
      <c r="A19" s="49">
        <f t="shared" si="1"/>
        <v>9</v>
      </c>
      <c r="B19" s="56" t="s">
        <v>105</v>
      </c>
      <c r="C19" s="56"/>
      <c r="D19" s="56"/>
      <c r="E19" s="35" t="s">
        <v>77</v>
      </c>
      <c r="F19" s="34">
        <v>42887</v>
      </c>
      <c r="G19" s="55" t="s">
        <v>76</v>
      </c>
      <c r="H19" s="55"/>
      <c r="I19" s="36">
        <v>1</v>
      </c>
      <c r="J19" s="49">
        <f t="shared" ref="J19:J21" si="10">IF(I19=1,M19,N19)</f>
        <v>12</v>
      </c>
      <c r="K19" s="29">
        <f t="shared" ref="K19:K21" si="11">M18+1</f>
        <v>12</v>
      </c>
      <c r="L19" s="30" t="s">
        <v>60</v>
      </c>
      <c r="M19" s="31">
        <f t="shared" ref="M19:M21" si="12">M18+I19</f>
        <v>12</v>
      </c>
      <c r="N19" s="33" t="str">
        <f t="shared" ref="N19:N21" si="13">CONCATENATE(K19,L19,M19)</f>
        <v>12-12</v>
      </c>
    </row>
    <row r="20" spans="1:14" ht="21.75" customHeight="1" x14ac:dyDescent="0.2">
      <c r="A20" s="49">
        <f t="shared" si="1"/>
        <v>10</v>
      </c>
      <c r="B20" s="54" t="s">
        <v>106</v>
      </c>
      <c r="C20" s="54"/>
      <c r="D20" s="54"/>
      <c r="E20" s="35" t="s">
        <v>78</v>
      </c>
      <c r="F20" s="34">
        <v>42948</v>
      </c>
      <c r="G20" s="55" t="s">
        <v>76</v>
      </c>
      <c r="H20" s="55"/>
      <c r="I20" s="36">
        <v>1</v>
      </c>
      <c r="J20" s="49">
        <f t="shared" si="10"/>
        <v>13</v>
      </c>
      <c r="K20" s="29">
        <f t="shared" si="11"/>
        <v>13</v>
      </c>
      <c r="L20" s="30" t="s">
        <v>60</v>
      </c>
      <c r="M20" s="31">
        <f t="shared" si="12"/>
        <v>13</v>
      </c>
      <c r="N20" s="33" t="str">
        <f t="shared" si="13"/>
        <v>13-13</v>
      </c>
    </row>
    <row r="21" spans="1:14" ht="66.75" customHeight="1" x14ac:dyDescent="0.2">
      <c r="A21" s="49">
        <f t="shared" si="1"/>
        <v>11</v>
      </c>
      <c r="B21" s="56" t="s">
        <v>107</v>
      </c>
      <c r="C21" s="56"/>
      <c r="D21" s="56"/>
      <c r="E21" s="43">
        <v>148</v>
      </c>
      <c r="F21" s="34">
        <v>42948</v>
      </c>
      <c r="G21" s="55" t="s">
        <v>76</v>
      </c>
      <c r="H21" s="55"/>
      <c r="I21" s="36">
        <v>1</v>
      </c>
      <c r="J21" s="49">
        <f t="shared" si="10"/>
        <v>14</v>
      </c>
      <c r="K21" s="29">
        <f t="shared" si="11"/>
        <v>14</v>
      </c>
      <c r="L21" s="30" t="s">
        <v>60</v>
      </c>
      <c r="M21" s="31">
        <f t="shared" si="12"/>
        <v>14</v>
      </c>
      <c r="N21" s="33" t="str">
        <f t="shared" si="13"/>
        <v>14-14</v>
      </c>
    </row>
    <row r="22" spans="1:14" ht="39.75" customHeight="1" x14ac:dyDescent="0.2">
      <c r="A22" s="49">
        <f t="shared" si="1"/>
        <v>12</v>
      </c>
      <c r="B22" s="54" t="s">
        <v>79</v>
      </c>
      <c r="C22" s="54"/>
      <c r="D22" s="54"/>
      <c r="E22" s="47" t="s">
        <v>84</v>
      </c>
      <c r="F22" s="34" t="s">
        <v>110</v>
      </c>
      <c r="G22" s="55" t="s">
        <v>76</v>
      </c>
      <c r="H22" s="55"/>
      <c r="I22" s="36">
        <v>8</v>
      </c>
      <c r="J22" s="49" t="str">
        <f t="shared" ref="J22:J24" si="14">IF(I22=1,M22,N22)</f>
        <v>15-22</v>
      </c>
      <c r="K22" s="29">
        <f t="shared" ref="K22:K24" si="15">M21+1</f>
        <v>15</v>
      </c>
      <c r="L22" s="30" t="s">
        <v>60</v>
      </c>
      <c r="M22" s="31">
        <f t="shared" ref="M22:M24" si="16">M21+I22</f>
        <v>22</v>
      </c>
      <c r="N22" s="33" t="str">
        <f t="shared" ref="N22:N24" si="17">CONCATENATE(K22,L22,M22)</f>
        <v>15-22</v>
      </c>
    </row>
    <row r="23" spans="1:14" ht="42" customHeight="1" x14ac:dyDescent="0.2">
      <c r="A23" s="49">
        <f t="shared" si="1"/>
        <v>13</v>
      </c>
      <c r="B23" s="54" t="s">
        <v>79</v>
      </c>
      <c r="C23" s="54"/>
      <c r="D23" s="54"/>
      <c r="E23" s="47" t="s">
        <v>83</v>
      </c>
      <c r="F23" s="34" t="s">
        <v>110</v>
      </c>
      <c r="G23" s="55" t="s">
        <v>76</v>
      </c>
      <c r="H23" s="55"/>
      <c r="I23" s="36">
        <v>8</v>
      </c>
      <c r="J23" s="49" t="str">
        <f t="shared" si="14"/>
        <v>23-30</v>
      </c>
      <c r="K23" s="29">
        <f t="shared" si="15"/>
        <v>23</v>
      </c>
      <c r="L23" s="30" t="s">
        <v>60</v>
      </c>
      <c r="M23" s="31">
        <f t="shared" si="16"/>
        <v>30</v>
      </c>
      <c r="N23" s="33" t="str">
        <f t="shared" si="17"/>
        <v>23-30</v>
      </c>
    </row>
    <row r="24" spans="1:14" ht="39" customHeight="1" x14ac:dyDescent="0.2">
      <c r="A24" s="49">
        <f t="shared" si="1"/>
        <v>14</v>
      </c>
      <c r="B24" s="54" t="s">
        <v>79</v>
      </c>
      <c r="C24" s="54"/>
      <c r="D24" s="54"/>
      <c r="E24" s="47" t="s">
        <v>82</v>
      </c>
      <c r="F24" s="34" t="s">
        <v>110</v>
      </c>
      <c r="G24" s="55" t="s">
        <v>76</v>
      </c>
      <c r="H24" s="55"/>
      <c r="I24" s="36">
        <v>8</v>
      </c>
      <c r="J24" s="49" t="str">
        <f t="shared" si="14"/>
        <v>31-38</v>
      </c>
      <c r="K24" s="29">
        <f t="shared" si="15"/>
        <v>31</v>
      </c>
      <c r="L24" s="30" t="s">
        <v>60</v>
      </c>
      <c r="M24" s="31">
        <f t="shared" si="16"/>
        <v>38</v>
      </c>
      <c r="N24" s="33" t="str">
        <f t="shared" si="17"/>
        <v>31-38</v>
      </c>
    </row>
    <row r="25" spans="1:14" ht="43.5" customHeight="1" x14ac:dyDescent="0.2">
      <c r="A25" s="49">
        <f t="shared" si="1"/>
        <v>15</v>
      </c>
      <c r="B25" s="54" t="s">
        <v>79</v>
      </c>
      <c r="C25" s="54"/>
      <c r="D25" s="54"/>
      <c r="E25" s="47" t="s">
        <v>81</v>
      </c>
      <c r="F25" s="34" t="s">
        <v>110</v>
      </c>
      <c r="G25" s="55" t="s">
        <v>76</v>
      </c>
      <c r="H25" s="55"/>
      <c r="I25" s="36">
        <v>8</v>
      </c>
      <c r="J25" s="49" t="str">
        <f t="shared" ref="J25:J26" si="18">IF(I25=1,M25,N25)</f>
        <v>39-46</v>
      </c>
      <c r="K25" s="29">
        <f t="shared" ref="K25:K26" si="19">M24+1</f>
        <v>39</v>
      </c>
      <c r="L25" s="30" t="s">
        <v>60</v>
      </c>
      <c r="M25" s="31">
        <f t="shared" ref="M25:M26" si="20">M24+I25</f>
        <v>46</v>
      </c>
      <c r="N25" s="33" t="str">
        <f t="shared" ref="N25:N26" si="21">CONCATENATE(K25,L25,M25)</f>
        <v>39-46</v>
      </c>
    </row>
    <row r="26" spans="1:14" ht="39.75" customHeight="1" x14ac:dyDescent="0.2">
      <c r="A26" s="49">
        <f t="shared" si="1"/>
        <v>16</v>
      </c>
      <c r="B26" s="54" t="s">
        <v>79</v>
      </c>
      <c r="C26" s="54"/>
      <c r="D26" s="54"/>
      <c r="E26" s="43" t="s">
        <v>80</v>
      </c>
      <c r="F26" s="34" t="s">
        <v>110</v>
      </c>
      <c r="G26" s="55" t="s">
        <v>76</v>
      </c>
      <c r="H26" s="55"/>
      <c r="I26" s="36">
        <v>8</v>
      </c>
      <c r="J26" s="49" t="str">
        <f t="shared" si="18"/>
        <v>47-54</v>
      </c>
      <c r="K26" s="29">
        <f t="shared" si="19"/>
        <v>47</v>
      </c>
      <c r="L26" s="30" t="s">
        <v>60</v>
      </c>
      <c r="M26" s="31">
        <f t="shared" si="20"/>
        <v>54</v>
      </c>
      <c r="N26" s="33" t="str">
        <f t="shared" si="21"/>
        <v>47-54</v>
      </c>
    </row>
    <row r="27" spans="1:14" ht="39" customHeight="1" x14ac:dyDescent="0.2">
      <c r="A27" s="49">
        <f t="shared" si="1"/>
        <v>17</v>
      </c>
      <c r="B27" s="54" t="s">
        <v>89</v>
      </c>
      <c r="C27" s="54"/>
      <c r="D27" s="54"/>
      <c r="E27" s="47" t="s">
        <v>90</v>
      </c>
      <c r="F27" s="34" t="s">
        <v>110</v>
      </c>
      <c r="G27" s="55" t="s">
        <v>76</v>
      </c>
      <c r="H27" s="55"/>
      <c r="I27" s="36">
        <v>6</v>
      </c>
      <c r="J27" s="49" t="str">
        <f t="shared" ref="J27" si="22">IF(I27=1,M27,N27)</f>
        <v>55-60</v>
      </c>
      <c r="K27" s="29">
        <f t="shared" ref="K27" si="23">M26+1</f>
        <v>55</v>
      </c>
      <c r="L27" s="30" t="s">
        <v>60</v>
      </c>
      <c r="M27" s="31">
        <f t="shared" ref="M27" si="24">M26+I27</f>
        <v>60</v>
      </c>
      <c r="N27" s="33" t="str">
        <f t="shared" ref="N27" si="25">CONCATENATE(K27,L27,M27)</f>
        <v>55-60</v>
      </c>
    </row>
    <row r="28" spans="1:14" ht="38.25" customHeight="1" x14ac:dyDescent="0.2">
      <c r="A28" s="49">
        <f t="shared" si="1"/>
        <v>18</v>
      </c>
      <c r="B28" s="54" t="s">
        <v>86</v>
      </c>
      <c r="C28" s="54"/>
      <c r="D28" s="54"/>
      <c r="E28" s="47" t="s">
        <v>87</v>
      </c>
      <c r="F28" s="34" t="s">
        <v>110</v>
      </c>
      <c r="G28" s="55" t="s">
        <v>76</v>
      </c>
      <c r="H28" s="55"/>
      <c r="I28" s="36">
        <v>7</v>
      </c>
      <c r="J28" s="49" t="str">
        <f t="shared" ref="J28" si="26">IF(I28=1,M28,N28)</f>
        <v>61-67</v>
      </c>
      <c r="K28" s="29">
        <f t="shared" ref="K28" si="27">M27+1</f>
        <v>61</v>
      </c>
      <c r="L28" s="30" t="s">
        <v>60</v>
      </c>
      <c r="M28" s="31">
        <f t="shared" ref="M28" si="28">M27+I28</f>
        <v>67</v>
      </c>
      <c r="N28" s="33" t="str">
        <f t="shared" ref="N28" si="29">CONCATENATE(K28,L28,M28)</f>
        <v>61-67</v>
      </c>
    </row>
    <row r="29" spans="1:14" ht="39" customHeight="1" x14ac:dyDescent="0.2">
      <c r="A29" s="48">
        <f>A28+1</f>
        <v>19</v>
      </c>
      <c r="B29" s="54" t="s">
        <v>86</v>
      </c>
      <c r="C29" s="54"/>
      <c r="D29" s="54"/>
      <c r="E29" s="47" t="s">
        <v>88</v>
      </c>
      <c r="F29" s="34" t="s">
        <v>110</v>
      </c>
      <c r="G29" s="55" t="s">
        <v>76</v>
      </c>
      <c r="H29" s="55"/>
      <c r="I29" s="36">
        <v>7</v>
      </c>
      <c r="J29" s="48" t="str">
        <f t="shared" ref="J29:J34" si="30">IF(I29=1,M29,N29)</f>
        <v>68-74</v>
      </c>
      <c r="K29" s="29">
        <f t="shared" ref="K29:K34" si="31">M28+1</f>
        <v>68</v>
      </c>
      <c r="L29" s="30" t="s">
        <v>60</v>
      </c>
      <c r="M29" s="31">
        <f t="shared" ref="M29:M34" si="32">M28+I29</f>
        <v>74</v>
      </c>
      <c r="N29" s="33" t="str">
        <f t="shared" ref="N29:N34" si="33">CONCATENATE(K29,L29,M29)</f>
        <v>68-74</v>
      </c>
    </row>
    <row r="30" spans="1:14" ht="44.25" customHeight="1" x14ac:dyDescent="0.2">
      <c r="A30" s="49">
        <f>A29+1</f>
        <v>20</v>
      </c>
      <c r="B30" s="54" t="s">
        <v>79</v>
      </c>
      <c r="C30" s="54"/>
      <c r="D30" s="54"/>
      <c r="E30" s="47" t="s">
        <v>85</v>
      </c>
      <c r="F30" s="34" t="s">
        <v>110</v>
      </c>
      <c r="G30" s="55" t="s">
        <v>76</v>
      </c>
      <c r="H30" s="55"/>
      <c r="I30" s="36">
        <v>8</v>
      </c>
      <c r="J30" s="49" t="str">
        <f t="shared" si="30"/>
        <v>75-82</v>
      </c>
      <c r="K30" s="29">
        <f t="shared" si="31"/>
        <v>75</v>
      </c>
      <c r="L30" s="30" t="s">
        <v>60</v>
      </c>
      <c r="M30" s="31">
        <f t="shared" si="32"/>
        <v>82</v>
      </c>
      <c r="N30" s="33" t="str">
        <f t="shared" si="33"/>
        <v>75-82</v>
      </c>
    </row>
    <row r="31" spans="1:14" ht="42" customHeight="1" x14ac:dyDescent="0.2">
      <c r="A31" s="49">
        <f>A30+1</f>
        <v>21</v>
      </c>
      <c r="B31" s="54" t="s">
        <v>89</v>
      </c>
      <c r="C31" s="54"/>
      <c r="D31" s="54"/>
      <c r="E31" s="47" t="s">
        <v>92</v>
      </c>
      <c r="F31" s="34" t="s">
        <v>110</v>
      </c>
      <c r="G31" s="55" t="s">
        <v>76</v>
      </c>
      <c r="H31" s="55"/>
      <c r="I31" s="36">
        <v>7</v>
      </c>
      <c r="J31" s="49" t="str">
        <f t="shared" si="30"/>
        <v>83-89</v>
      </c>
      <c r="K31" s="29">
        <f t="shared" si="31"/>
        <v>83</v>
      </c>
      <c r="L31" s="30" t="s">
        <v>60</v>
      </c>
      <c r="M31" s="31">
        <f t="shared" si="32"/>
        <v>89</v>
      </c>
      <c r="N31" s="33" t="str">
        <f t="shared" si="33"/>
        <v>83-89</v>
      </c>
    </row>
    <row r="32" spans="1:14" ht="39" customHeight="1" x14ac:dyDescent="0.2">
      <c r="A32" s="48">
        <f>A31+1</f>
        <v>22</v>
      </c>
      <c r="B32" s="54" t="s">
        <v>89</v>
      </c>
      <c r="C32" s="54"/>
      <c r="D32" s="54"/>
      <c r="E32" s="47" t="s">
        <v>93</v>
      </c>
      <c r="F32" s="34" t="s">
        <v>110</v>
      </c>
      <c r="G32" s="55" t="s">
        <v>76</v>
      </c>
      <c r="H32" s="55"/>
      <c r="I32" s="36">
        <v>7</v>
      </c>
      <c r="J32" s="48" t="str">
        <f t="shared" si="30"/>
        <v>90-96</v>
      </c>
      <c r="K32" s="29">
        <f t="shared" si="31"/>
        <v>90</v>
      </c>
      <c r="L32" s="30" t="s">
        <v>60</v>
      </c>
      <c r="M32" s="31">
        <f t="shared" si="32"/>
        <v>96</v>
      </c>
      <c r="N32" s="33" t="str">
        <f t="shared" si="33"/>
        <v>90-96</v>
      </c>
    </row>
    <row r="33" spans="1:14" ht="39" customHeight="1" x14ac:dyDescent="0.2">
      <c r="A33" s="49">
        <f t="shared" ref="A33:A38" si="34">A32+1</f>
        <v>23</v>
      </c>
      <c r="B33" s="54" t="s">
        <v>89</v>
      </c>
      <c r="C33" s="54"/>
      <c r="D33" s="54"/>
      <c r="E33" s="47" t="s">
        <v>94</v>
      </c>
      <c r="F33" s="34" t="s">
        <v>110</v>
      </c>
      <c r="G33" s="55" t="s">
        <v>76</v>
      </c>
      <c r="H33" s="55"/>
      <c r="I33" s="36">
        <v>7</v>
      </c>
      <c r="J33" s="48" t="str">
        <f t="shared" si="30"/>
        <v>97-103</v>
      </c>
      <c r="K33" s="29">
        <f t="shared" si="31"/>
        <v>97</v>
      </c>
      <c r="L33" s="30" t="s">
        <v>60</v>
      </c>
      <c r="M33" s="31">
        <f t="shared" si="32"/>
        <v>103</v>
      </c>
      <c r="N33" s="33" t="str">
        <f t="shared" si="33"/>
        <v>97-103</v>
      </c>
    </row>
    <row r="34" spans="1:14" ht="39" customHeight="1" x14ac:dyDescent="0.2">
      <c r="A34" s="49">
        <f t="shared" si="34"/>
        <v>24</v>
      </c>
      <c r="B34" s="54" t="s">
        <v>89</v>
      </c>
      <c r="C34" s="54"/>
      <c r="D34" s="54"/>
      <c r="E34" s="47" t="s">
        <v>97</v>
      </c>
      <c r="F34" s="34">
        <v>43248</v>
      </c>
      <c r="G34" s="55" t="s">
        <v>76</v>
      </c>
      <c r="H34" s="55"/>
      <c r="I34" s="36">
        <v>6</v>
      </c>
      <c r="J34" s="49" t="str">
        <f t="shared" si="30"/>
        <v>104-109</v>
      </c>
      <c r="K34" s="29">
        <f t="shared" si="31"/>
        <v>104</v>
      </c>
      <c r="L34" s="30" t="s">
        <v>60</v>
      </c>
      <c r="M34" s="31">
        <f t="shared" si="32"/>
        <v>109</v>
      </c>
      <c r="N34" s="33" t="str">
        <f t="shared" si="33"/>
        <v>104-109</v>
      </c>
    </row>
    <row r="35" spans="1:14" ht="39" customHeight="1" x14ac:dyDescent="0.2">
      <c r="A35" s="49">
        <f t="shared" si="34"/>
        <v>25</v>
      </c>
      <c r="B35" s="54" t="s">
        <v>89</v>
      </c>
      <c r="C35" s="54"/>
      <c r="D35" s="54"/>
      <c r="E35" s="47" t="s">
        <v>96</v>
      </c>
      <c r="F35" s="34" t="s">
        <v>110</v>
      </c>
      <c r="G35" s="55" t="s">
        <v>76</v>
      </c>
      <c r="H35" s="55"/>
      <c r="I35" s="36">
        <v>6</v>
      </c>
      <c r="J35" s="49" t="str">
        <f t="shared" ref="J35" si="35">IF(I35=1,M35,N35)</f>
        <v>110-115</v>
      </c>
      <c r="K35" s="29">
        <f t="shared" ref="K35" si="36">M34+1</f>
        <v>110</v>
      </c>
      <c r="L35" s="30" t="s">
        <v>60</v>
      </c>
      <c r="M35" s="31">
        <f t="shared" ref="M35" si="37">M34+I35</f>
        <v>115</v>
      </c>
      <c r="N35" s="33" t="str">
        <f t="shared" ref="N35" si="38">CONCATENATE(K35,L35,M35)</f>
        <v>110-115</v>
      </c>
    </row>
    <row r="36" spans="1:14" ht="39" customHeight="1" x14ac:dyDescent="0.2">
      <c r="A36" s="49">
        <f t="shared" si="34"/>
        <v>26</v>
      </c>
      <c r="B36" s="54" t="s">
        <v>89</v>
      </c>
      <c r="C36" s="54"/>
      <c r="D36" s="54"/>
      <c r="E36" s="47" t="s">
        <v>95</v>
      </c>
      <c r="F36" s="34" t="s">
        <v>110</v>
      </c>
      <c r="G36" s="55" t="s">
        <v>76</v>
      </c>
      <c r="H36" s="55"/>
      <c r="I36" s="36">
        <v>7</v>
      </c>
      <c r="J36" s="49" t="str">
        <f t="shared" ref="J36" si="39">IF(I36=1,M36,N36)</f>
        <v>116-122</v>
      </c>
      <c r="K36" s="29">
        <f t="shared" ref="K36" si="40">M35+1</f>
        <v>116</v>
      </c>
      <c r="L36" s="30" t="s">
        <v>60</v>
      </c>
      <c r="M36" s="31">
        <f t="shared" ref="M36" si="41">M35+I36</f>
        <v>122</v>
      </c>
      <c r="N36" s="33" t="str">
        <f t="shared" ref="N36" si="42">CONCATENATE(K36,L36,M36)</f>
        <v>116-122</v>
      </c>
    </row>
    <row r="37" spans="1:14" ht="39" customHeight="1" x14ac:dyDescent="0.2">
      <c r="A37" s="49">
        <f t="shared" si="34"/>
        <v>27</v>
      </c>
      <c r="B37" s="54" t="s">
        <v>89</v>
      </c>
      <c r="C37" s="54"/>
      <c r="D37" s="54"/>
      <c r="E37" s="47" t="s">
        <v>98</v>
      </c>
      <c r="F37" s="34">
        <v>43248</v>
      </c>
      <c r="G37" s="55" t="s">
        <v>76</v>
      </c>
      <c r="H37" s="55"/>
      <c r="I37" s="36">
        <v>6</v>
      </c>
      <c r="J37" s="49" t="str">
        <f t="shared" ref="J37:J38" si="43">IF(I37=1,M37,N37)</f>
        <v>123-128</v>
      </c>
      <c r="K37" s="29">
        <f t="shared" ref="K37:K38" si="44">M36+1</f>
        <v>123</v>
      </c>
      <c r="L37" s="30" t="s">
        <v>60</v>
      </c>
      <c r="M37" s="31">
        <f t="shared" ref="M37:M38" si="45">M36+I37</f>
        <v>128</v>
      </c>
      <c r="N37" s="33" t="str">
        <f t="shared" ref="N37:N38" si="46">CONCATENATE(K37,L37,M37)</f>
        <v>123-128</v>
      </c>
    </row>
    <row r="38" spans="1:14" ht="35.25" customHeight="1" x14ac:dyDescent="0.2">
      <c r="A38" s="49">
        <f t="shared" si="34"/>
        <v>28</v>
      </c>
      <c r="B38" s="54" t="s">
        <v>89</v>
      </c>
      <c r="C38" s="54"/>
      <c r="D38" s="54"/>
      <c r="E38" s="47" t="s">
        <v>91</v>
      </c>
      <c r="F38" s="34" t="s">
        <v>110</v>
      </c>
      <c r="G38" s="55" t="s">
        <v>76</v>
      </c>
      <c r="H38" s="55"/>
      <c r="I38" s="36">
        <v>7</v>
      </c>
      <c r="J38" s="49" t="str">
        <f t="shared" si="43"/>
        <v>129-135</v>
      </c>
      <c r="K38" s="29">
        <f t="shared" si="44"/>
        <v>129</v>
      </c>
      <c r="L38" s="30" t="s">
        <v>60</v>
      </c>
      <c r="M38" s="31">
        <f t="shared" si="45"/>
        <v>135</v>
      </c>
      <c r="N38" s="33" t="str">
        <f t="shared" si="46"/>
        <v>129-135</v>
      </c>
    </row>
    <row r="39" spans="1:14" x14ac:dyDescent="0.25">
      <c r="A39" s="52"/>
      <c r="B39" s="52"/>
      <c r="C39" s="52"/>
      <c r="D39" s="63"/>
      <c r="E39" s="63"/>
      <c r="F39" s="63"/>
      <c r="G39" s="63"/>
      <c r="H39" s="63"/>
      <c r="I39" s="63"/>
      <c r="J39" s="63"/>
    </row>
    <row r="40" spans="1:14" ht="15.75" customHeight="1" x14ac:dyDescent="0.25">
      <c r="A40" s="52" t="s">
        <v>32</v>
      </c>
      <c r="B40" s="52"/>
      <c r="C40" s="52"/>
      <c r="D40" s="70"/>
      <c r="E40" s="70"/>
      <c r="F40" s="70"/>
      <c r="G40" s="70"/>
      <c r="H40" s="70"/>
      <c r="I40" s="67"/>
      <c r="J40" s="67"/>
    </row>
    <row r="41" spans="1:14" ht="15" customHeight="1" x14ac:dyDescent="0.25">
      <c r="A41" s="52" t="s">
        <v>33</v>
      </c>
      <c r="B41" s="52"/>
      <c r="C41" s="52"/>
      <c r="D41" s="66" t="s">
        <v>34</v>
      </c>
      <c r="E41" s="66"/>
      <c r="F41" s="66"/>
      <c r="G41" s="66"/>
      <c r="H41" s="66"/>
      <c r="I41" s="66" t="s">
        <v>35</v>
      </c>
      <c r="J41" s="66"/>
    </row>
    <row r="42" spans="1:14" x14ac:dyDescent="0.25">
      <c r="A42" s="68"/>
      <c r="B42" s="68"/>
      <c r="C42" s="68"/>
      <c r="D42" s="63"/>
      <c r="E42" s="63"/>
      <c r="F42" s="63"/>
      <c r="G42" s="68"/>
      <c r="H42" s="68"/>
      <c r="I42" s="69"/>
      <c r="J42" s="69"/>
    </row>
    <row r="43" spans="1:14" ht="15.75" customHeight="1" x14ac:dyDescent="0.25">
      <c r="A43" s="52" t="s">
        <v>36</v>
      </c>
      <c r="B43" s="52"/>
      <c r="C43" s="52"/>
      <c r="D43" s="70"/>
      <c r="E43" s="70"/>
      <c r="F43" s="70"/>
      <c r="G43" s="70"/>
      <c r="H43" s="70"/>
      <c r="I43" s="67"/>
      <c r="J43" s="67"/>
    </row>
    <row r="44" spans="1:14" ht="15" customHeight="1" x14ac:dyDescent="0.25">
      <c r="A44" s="52" t="s">
        <v>50</v>
      </c>
      <c r="B44" s="52"/>
      <c r="C44" s="52"/>
      <c r="D44" s="66" t="s">
        <v>34</v>
      </c>
      <c r="E44" s="66"/>
      <c r="F44" s="66"/>
      <c r="G44" s="66"/>
      <c r="H44" s="66"/>
      <c r="I44" s="66" t="s">
        <v>35</v>
      </c>
      <c r="J44" s="66"/>
    </row>
    <row r="45" spans="1:14" x14ac:dyDescent="0.25">
      <c r="A45" s="68"/>
      <c r="B45" s="68"/>
      <c r="C45" s="68"/>
      <c r="D45" s="63"/>
      <c r="E45" s="63"/>
      <c r="F45" s="63"/>
      <c r="G45" s="68"/>
      <c r="H45" s="68"/>
      <c r="I45" s="69"/>
      <c r="J45" s="69"/>
    </row>
    <row r="46" spans="1:14" ht="15.75" customHeight="1" x14ac:dyDescent="0.25">
      <c r="A46" s="52" t="s">
        <v>37</v>
      </c>
      <c r="B46" s="52"/>
      <c r="C46" s="52"/>
      <c r="D46" s="70"/>
      <c r="E46" s="70"/>
      <c r="F46" s="70"/>
      <c r="G46" s="70"/>
      <c r="H46" s="70"/>
      <c r="I46" s="67"/>
      <c r="J46" s="67"/>
    </row>
    <row r="47" spans="1:14" ht="15" customHeight="1" x14ac:dyDescent="0.25">
      <c r="A47" s="52" t="s">
        <v>38</v>
      </c>
      <c r="B47" s="52"/>
      <c r="C47" s="52"/>
      <c r="D47" s="66" t="s">
        <v>34</v>
      </c>
      <c r="E47" s="66"/>
      <c r="F47" s="66"/>
      <c r="G47" s="66"/>
      <c r="H47" s="66"/>
      <c r="I47" s="66" t="s">
        <v>35</v>
      </c>
      <c r="J47" s="66"/>
    </row>
    <row r="48" spans="1:14" x14ac:dyDescent="0.25">
      <c r="A48" s="52"/>
      <c r="B48" s="52"/>
      <c r="C48" s="52"/>
      <c r="D48" s="52"/>
      <c r="E48" s="52"/>
      <c r="F48" s="65"/>
      <c r="G48" s="65"/>
      <c r="H48" s="65"/>
      <c r="I48" s="65"/>
      <c r="J48" s="65"/>
    </row>
    <row r="49" spans="1:10" x14ac:dyDescent="0.25">
      <c r="A49" s="21"/>
      <c r="B49" s="21"/>
      <c r="C49" s="21"/>
      <c r="D49" s="21"/>
      <c r="E49" s="21"/>
      <c r="F49" s="21"/>
      <c r="G49" s="21"/>
      <c r="H49" s="21"/>
      <c r="I49" s="21"/>
      <c r="J49" s="24"/>
    </row>
  </sheetData>
  <mergeCells count="111">
    <mergeCell ref="D46:H46"/>
    <mergeCell ref="I46:J46"/>
    <mergeCell ref="D43:H43"/>
    <mergeCell ref="B21:D21"/>
    <mergeCell ref="G21:H21"/>
    <mergeCell ref="B26:D26"/>
    <mergeCell ref="G26:H26"/>
    <mergeCell ref="I40:J40"/>
    <mergeCell ref="A39:C39"/>
    <mergeCell ref="I45:J45"/>
    <mergeCell ref="D39:F39"/>
    <mergeCell ref="G39:H39"/>
    <mergeCell ref="D40:H40"/>
    <mergeCell ref="B28:D28"/>
    <mergeCell ref="G28:H28"/>
    <mergeCell ref="B30:D30"/>
    <mergeCell ref="G30:H30"/>
    <mergeCell ref="B38:D38"/>
    <mergeCell ref="G38:H38"/>
    <mergeCell ref="B31:D31"/>
    <mergeCell ref="G31:H31"/>
    <mergeCell ref="B32:D32"/>
    <mergeCell ref="G32:H32"/>
    <mergeCell ref="B36:D36"/>
    <mergeCell ref="A48:E48"/>
    <mergeCell ref="F48:H48"/>
    <mergeCell ref="I48:J48"/>
    <mergeCell ref="A47:C47"/>
    <mergeCell ref="D47:H47"/>
    <mergeCell ref="I47:J47"/>
    <mergeCell ref="I39:J39"/>
    <mergeCell ref="A40:C40"/>
    <mergeCell ref="I43:J43"/>
    <mergeCell ref="A44:C44"/>
    <mergeCell ref="D44:H44"/>
    <mergeCell ref="I44:J44"/>
    <mergeCell ref="A41:C41"/>
    <mergeCell ref="D41:H41"/>
    <mergeCell ref="I41:J41"/>
    <mergeCell ref="A42:C42"/>
    <mergeCell ref="D42:F42"/>
    <mergeCell ref="G42:H42"/>
    <mergeCell ref="I42:J42"/>
    <mergeCell ref="A43:C43"/>
    <mergeCell ref="A46:C46"/>
    <mergeCell ref="A45:C45"/>
    <mergeCell ref="D45:F45"/>
    <mergeCell ref="G45:H45"/>
    <mergeCell ref="A1:B2"/>
    <mergeCell ref="A3:B3"/>
    <mergeCell ref="B16:D16"/>
    <mergeCell ref="G16:H16"/>
    <mergeCell ref="B20:D20"/>
    <mergeCell ref="G20:H20"/>
    <mergeCell ref="C1:F2"/>
    <mergeCell ref="C4:F4"/>
    <mergeCell ref="H1:J2"/>
    <mergeCell ref="H3:J3"/>
    <mergeCell ref="H4:J4"/>
    <mergeCell ref="H5:J5"/>
    <mergeCell ref="I6:J6"/>
    <mergeCell ref="B11:D11"/>
    <mergeCell ref="G11:H11"/>
    <mergeCell ref="B9:D9"/>
    <mergeCell ref="G9:H9"/>
    <mergeCell ref="A7:J7"/>
    <mergeCell ref="B15:D15"/>
    <mergeCell ref="G15:H15"/>
    <mergeCell ref="B12:D12"/>
    <mergeCell ref="G12:H12"/>
    <mergeCell ref="B13:D13"/>
    <mergeCell ref="B14:D14"/>
    <mergeCell ref="G22:H22"/>
    <mergeCell ref="B37:D37"/>
    <mergeCell ref="G37:H37"/>
    <mergeCell ref="B34:D34"/>
    <mergeCell ref="G34:H34"/>
    <mergeCell ref="B35:D35"/>
    <mergeCell ref="G35:H35"/>
    <mergeCell ref="G19:H19"/>
    <mergeCell ref="B18:D18"/>
    <mergeCell ref="G18:H18"/>
    <mergeCell ref="B33:D33"/>
    <mergeCell ref="G33:H33"/>
    <mergeCell ref="B29:D29"/>
    <mergeCell ref="G29:H29"/>
    <mergeCell ref="B27:D27"/>
    <mergeCell ref="G27:H27"/>
    <mergeCell ref="B25:D25"/>
    <mergeCell ref="G25:H25"/>
    <mergeCell ref="B24:D24"/>
    <mergeCell ref="G24:H24"/>
    <mergeCell ref="B23:D23"/>
    <mergeCell ref="G23:H23"/>
    <mergeCell ref="B22:D22"/>
    <mergeCell ref="G36:H36"/>
    <mergeCell ref="E5:F5"/>
    <mergeCell ref="C5:D5"/>
    <mergeCell ref="A6:B6"/>
    <mergeCell ref="C6:F6"/>
    <mergeCell ref="B17:D17"/>
    <mergeCell ref="G17:H17"/>
    <mergeCell ref="B19:D19"/>
    <mergeCell ref="A8:J8"/>
    <mergeCell ref="C3:F3"/>
    <mergeCell ref="A4:B4"/>
    <mergeCell ref="A5:B5"/>
    <mergeCell ref="B10:D10"/>
    <mergeCell ref="G10:H10"/>
    <mergeCell ref="G13:H13"/>
    <mergeCell ref="G14:H14"/>
  </mergeCells>
  <dataValidations count="2">
    <dataValidation type="list" allowBlank="1" showInputMessage="1" showErrorMessage="1" sqref="H3">
      <formula1>объектс</formula1>
    </dataValidation>
    <dataValidation type="list" allowBlank="1" showInputMessage="1" showErrorMessage="1" sqref="I6:J6">
      <formula1>разддисцс</formula1>
    </dataValidation>
  </dataValidations>
  <pageMargins left="0.98425196850393704" right="0.39370078740157483" top="0.39370078740157483" bottom="0.59055118110236227" header="0.31496062992125984" footer="0.31496062992125984"/>
  <pageSetup paperSize="9" scale="70" fitToHeight="0" orientation="portrait"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2"/>
  <sheetViews>
    <sheetView view="pageLayout" zoomScale="85" zoomScaleSheetLayoutView="100" zoomScalePageLayoutView="85" workbookViewId="0">
      <selection activeCell="A6" sqref="A6:J6"/>
    </sheetView>
  </sheetViews>
  <sheetFormatPr defaultRowHeight="15" x14ac:dyDescent="0.25"/>
  <cols>
    <col min="1" max="1" width="9.140625" style="1" customWidth="1"/>
    <col min="2" max="4" width="12.7109375" style="1" customWidth="1"/>
    <col min="5" max="5" width="17.28515625" style="1" customWidth="1"/>
    <col min="6" max="7" width="10.7109375" style="1" customWidth="1"/>
    <col min="8" max="8" width="25" style="1" customWidth="1"/>
    <col min="9" max="10" width="9.7109375" style="1" customWidth="1"/>
    <col min="11" max="16384" width="9.140625" style="1"/>
  </cols>
  <sheetData>
    <row r="1" spans="1:10" ht="15" customHeight="1" x14ac:dyDescent="0.25">
      <c r="A1" s="52" t="s">
        <v>0</v>
      </c>
      <c r="B1" s="52"/>
      <c r="C1" s="73"/>
      <c r="D1" s="73"/>
      <c r="E1" s="73"/>
      <c r="F1" s="73"/>
      <c r="G1" s="71" t="s">
        <v>57</v>
      </c>
      <c r="H1" s="71"/>
      <c r="I1" s="71"/>
      <c r="J1" s="71"/>
    </row>
    <row r="2" spans="1:10" ht="15" customHeight="1" x14ac:dyDescent="0.25">
      <c r="A2" s="52"/>
      <c r="B2" s="52"/>
      <c r="C2" s="73"/>
      <c r="D2" s="73"/>
      <c r="E2" s="73"/>
      <c r="F2" s="73"/>
      <c r="G2" s="72"/>
      <c r="H2" s="72"/>
      <c r="I2" s="72"/>
      <c r="J2" s="72"/>
    </row>
    <row r="3" spans="1:10" ht="15" customHeight="1" x14ac:dyDescent="0.25">
      <c r="A3" s="52" t="s">
        <v>1</v>
      </c>
      <c r="B3" s="52"/>
      <c r="C3" s="73"/>
      <c r="D3" s="73"/>
      <c r="E3" s="73"/>
      <c r="F3" s="73"/>
      <c r="G3" s="6"/>
      <c r="H3" s="28" t="s">
        <v>53</v>
      </c>
      <c r="I3" s="53"/>
      <c r="J3" s="53"/>
    </row>
    <row r="4" spans="1:10" ht="15" customHeight="1" x14ac:dyDescent="0.25">
      <c r="A4" s="52" t="s">
        <v>49</v>
      </c>
      <c r="B4" s="52"/>
      <c r="C4" s="73"/>
      <c r="D4" s="73"/>
      <c r="E4" s="73"/>
      <c r="F4" s="73"/>
      <c r="G4" s="6"/>
      <c r="H4" s="28" t="s">
        <v>2</v>
      </c>
      <c r="I4" s="53"/>
      <c r="J4" s="53"/>
    </row>
    <row r="5" spans="1:10" ht="15" customHeight="1" x14ac:dyDescent="0.25">
      <c r="A5" s="52" t="s">
        <v>3</v>
      </c>
      <c r="B5" s="52"/>
      <c r="C5" s="53"/>
      <c r="D5" s="53"/>
      <c r="E5" s="53"/>
      <c r="F5" s="53"/>
      <c r="G5" s="6"/>
      <c r="H5" s="28" t="s">
        <v>52</v>
      </c>
      <c r="I5" s="53"/>
      <c r="J5" s="53"/>
    </row>
    <row r="6" spans="1:10" x14ac:dyDescent="0.25">
      <c r="A6" s="57" t="s">
        <v>42</v>
      </c>
      <c r="B6" s="57"/>
      <c r="C6" s="57"/>
      <c r="D6" s="57"/>
      <c r="E6" s="57"/>
      <c r="F6" s="57"/>
      <c r="G6" s="57"/>
      <c r="H6" s="57"/>
      <c r="I6" s="57"/>
      <c r="J6" s="57"/>
    </row>
    <row r="7" spans="1:10" ht="15.75" thickBot="1" x14ac:dyDescent="0.3">
      <c r="A7" s="76" t="s">
        <v>43</v>
      </c>
      <c r="B7" s="76"/>
      <c r="C7" s="76"/>
      <c r="D7" s="76"/>
      <c r="E7" s="76"/>
      <c r="F7" s="76"/>
      <c r="G7" s="76"/>
      <c r="H7" s="76"/>
      <c r="I7" s="76"/>
      <c r="J7" s="76"/>
    </row>
    <row r="8" spans="1:10" ht="24" customHeight="1" thickBot="1" x14ac:dyDescent="0.3">
      <c r="A8" s="14" t="s">
        <v>4</v>
      </c>
      <c r="B8" s="77" t="s">
        <v>5</v>
      </c>
      <c r="C8" s="78"/>
      <c r="D8" s="78"/>
      <c r="E8" s="22" t="s">
        <v>44</v>
      </c>
      <c r="F8" s="22" t="s">
        <v>45</v>
      </c>
      <c r="G8" s="77" t="s">
        <v>8</v>
      </c>
      <c r="H8" s="90"/>
      <c r="I8" s="15" t="s">
        <v>9</v>
      </c>
      <c r="J8" s="15" t="s">
        <v>10</v>
      </c>
    </row>
    <row r="9" spans="1:10" ht="15" customHeight="1" thickBot="1" x14ac:dyDescent="0.3">
      <c r="A9" s="79" t="s">
        <v>54</v>
      </c>
      <c r="B9" s="80"/>
      <c r="C9" s="80"/>
      <c r="D9" s="80"/>
      <c r="E9" s="80"/>
      <c r="F9" s="80"/>
      <c r="G9" s="80"/>
      <c r="H9" s="80"/>
      <c r="I9" s="80"/>
      <c r="J9" s="81"/>
    </row>
    <row r="10" spans="1:10" ht="15.75" customHeight="1" thickBot="1" x14ac:dyDescent="0.3">
      <c r="A10" s="3">
        <v>1</v>
      </c>
      <c r="B10" s="74" t="s">
        <v>11</v>
      </c>
      <c r="C10" s="75"/>
      <c r="D10" s="75"/>
      <c r="E10" s="12">
        <v>2</v>
      </c>
      <c r="F10" s="20">
        <v>41119</v>
      </c>
      <c r="G10" s="85" t="s">
        <v>51</v>
      </c>
      <c r="H10" s="86"/>
      <c r="I10" s="16">
        <v>4</v>
      </c>
      <c r="J10" s="17" t="s">
        <v>39</v>
      </c>
    </row>
    <row r="11" spans="1:10" ht="15.75" customHeight="1" thickBot="1" x14ac:dyDescent="0.3">
      <c r="A11" s="3">
        <v>2</v>
      </c>
      <c r="B11" s="74" t="s">
        <v>12</v>
      </c>
      <c r="C11" s="75"/>
      <c r="D11" s="75"/>
      <c r="E11" s="12" t="s">
        <v>46</v>
      </c>
      <c r="F11" s="20">
        <v>41049</v>
      </c>
      <c r="G11" s="85" t="s">
        <v>51</v>
      </c>
      <c r="H11" s="86"/>
      <c r="I11" s="16">
        <v>6</v>
      </c>
      <c r="J11" s="17" t="s">
        <v>40</v>
      </c>
    </row>
    <row r="12" spans="1:10" ht="15.75" customHeight="1" thickBot="1" x14ac:dyDescent="0.3">
      <c r="A12" s="3">
        <v>3</v>
      </c>
      <c r="B12" s="74" t="s">
        <v>13</v>
      </c>
      <c r="C12" s="75"/>
      <c r="D12" s="75"/>
      <c r="E12" s="12">
        <v>35</v>
      </c>
      <c r="F12" s="20">
        <v>40983</v>
      </c>
      <c r="G12" s="85" t="s">
        <v>51</v>
      </c>
      <c r="H12" s="86"/>
      <c r="I12" s="16">
        <v>2</v>
      </c>
      <c r="J12" s="17" t="s">
        <v>41</v>
      </c>
    </row>
    <row r="13" spans="1:10" ht="15.75" customHeight="1" thickBot="1" x14ac:dyDescent="0.3">
      <c r="A13" s="3">
        <v>4</v>
      </c>
      <c r="B13" s="74" t="s">
        <v>14</v>
      </c>
      <c r="C13" s="75"/>
      <c r="D13" s="75"/>
      <c r="E13" s="12">
        <v>154</v>
      </c>
      <c r="F13" s="20">
        <v>40627</v>
      </c>
      <c r="G13" s="85" t="s">
        <v>51</v>
      </c>
      <c r="H13" s="86"/>
      <c r="I13" s="16">
        <v>3</v>
      </c>
      <c r="J13" s="17" t="s">
        <v>15</v>
      </c>
    </row>
    <row r="14" spans="1:10" ht="15.75" customHeight="1" thickBot="1" x14ac:dyDescent="0.3">
      <c r="A14" s="3">
        <v>5</v>
      </c>
      <c r="B14" s="74" t="s">
        <v>16</v>
      </c>
      <c r="C14" s="75"/>
      <c r="D14" s="75"/>
      <c r="E14" s="12">
        <v>7898</v>
      </c>
      <c r="F14" s="20">
        <v>40789</v>
      </c>
      <c r="G14" s="85" t="s">
        <v>51</v>
      </c>
      <c r="H14" s="86"/>
      <c r="I14" s="16">
        <v>2</v>
      </c>
      <c r="J14" s="17" t="s">
        <v>17</v>
      </c>
    </row>
    <row r="15" spans="1:10" ht="15.75" customHeight="1" thickBot="1" x14ac:dyDescent="0.3">
      <c r="A15" s="3">
        <v>6</v>
      </c>
      <c r="B15" s="74" t="s">
        <v>18</v>
      </c>
      <c r="C15" s="75"/>
      <c r="D15" s="75"/>
      <c r="E15" s="12">
        <v>125</v>
      </c>
      <c r="F15" s="20">
        <v>40955</v>
      </c>
      <c r="G15" s="85" t="s">
        <v>51</v>
      </c>
      <c r="H15" s="86"/>
      <c r="I15" s="16">
        <v>10</v>
      </c>
      <c r="J15" s="17" t="s">
        <v>19</v>
      </c>
    </row>
    <row r="16" spans="1:10" ht="15.75" customHeight="1" thickBot="1" x14ac:dyDescent="0.3">
      <c r="A16" s="3">
        <v>7</v>
      </c>
      <c r="B16" s="74" t="s">
        <v>20</v>
      </c>
      <c r="C16" s="75"/>
      <c r="D16" s="75"/>
      <c r="E16" s="12" t="s">
        <v>47</v>
      </c>
      <c r="F16" s="20">
        <v>40935</v>
      </c>
      <c r="G16" s="85" t="s">
        <v>51</v>
      </c>
      <c r="H16" s="86"/>
      <c r="I16" s="16">
        <v>50</v>
      </c>
      <c r="J16" s="17" t="s">
        <v>21</v>
      </c>
    </row>
    <row r="17" spans="1:10" ht="15.75" customHeight="1" thickBot="1" x14ac:dyDescent="0.3">
      <c r="A17" s="3">
        <v>8</v>
      </c>
      <c r="B17" s="74" t="s">
        <v>22</v>
      </c>
      <c r="C17" s="75"/>
      <c r="D17" s="75"/>
      <c r="E17" s="12" t="s">
        <v>23</v>
      </c>
      <c r="F17" s="20">
        <v>40718</v>
      </c>
      <c r="G17" s="85" t="s">
        <v>51</v>
      </c>
      <c r="H17" s="86"/>
      <c r="I17" s="16">
        <v>10</v>
      </c>
      <c r="J17" s="17" t="s">
        <v>24</v>
      </c>
    </row>
    <row r="18" spans="1:10" ht="15.75" customHeight="1" thickBot="1" x14ac:dyDescent="0.3">
      <c r="A18" s="82" t="s">
        <v>55</v>
      </c>
      <c r="B18" s="83"/>
      <c r="C18" s="83"/>
      <c r="D18" s="83"/>
      <c r="E18" s="83"/>
      <c r="F18" s="83"/>
      <c r="G18" s="83"/>
      <c r="H18" s="83"/>
      <c r="I18" s="83"/>
      <c r="J18" s="84"/>
    </row>
    <row r="19" spans="1:10" ht="15.75" customHeight="1" thickBot="1" x14ac:dyDescent="0.3">
      <c r="A19" s="3">
        <v>9</v>
      </c>
      <c r="B19" s="74" t="s">
        <v>25</v>
      </c>
      <c r="C19" s="75"/>
      <c r="D19" s="75"/>
      <c r="E19" s="12" t="s">
        <v>26</v>
      </c>
      <c r="F19" s="20">
        <v>41120</v>
      </c>
      <c r="G19" s="85" t="s">
        <v>51</v>
      </c>
      <c r="H19" s="86"/>
      <c r="I19" s="16">
        <v>2</v>
      </c>
      <c r="J19" s="17" t="s">
        <v>27</v>
      </c>
    </row>
    <row r="20" spans="1:10" ht="15.75" customHeight="1" thickBot="1" x14ac:dyDescent="0.3">
      <c r="A20" s="3">
        <v>10</v>
      </c>
      <c r="B20" s="74" t="s">
        <v>28</v>
      </c>
      <c r="C20" s="75"/>
      <c r="D20" s="75"/>
      <c r="E20" s="12" t="s">
        <v>46</v>
      </c>
      <c r="F20" s="20">
        <v>40589</v>
      </c>
      <c r="G20" s="85" t="s">
        <v>51</v>
      </c>
      <c r="H20" s="86"/>
      <c r="I20" s="16">
        <v>1</v>
      </c>
      <c r="J20" s="17">
        <v>90</v>
      </c>
    </row>
    <row r="21" spans="1:10" ht="15.75" customHeight="1" thickBot="1" x14ac:dyDescent="0.3">
      <c r="A21" s="3">
        <v>11</v>
      </c>
      <c r="B21" s="74" t="s">
        <v>29</v>
      </c>
      <c r="C21" s="75"/>
      <c r="D21" s="75"/>
      <c r="E21" s="12" t="s">
        <v>30</v>
      </c>
      <c r="F21" s="20">
        <v>40998</v>
      </c>
      <c r="G21" s="85" t="s">
        <v>51</v>
      </c>
      <c r="H21" s="86"/>
      <c r="I21" s="16">
        <v>2</v>
      </c>
      <c r="J21" s="17" t="s">
        <v>31</v>
      </c>
    </row>
    <row r="22" spans="1:10" ht="15.75" thickBot="1" x14ac:dyDescent="0.3">
      <c r="A22" s="82" t="s">
        <v>56</v>
      </c>
      <c r="B22" s="83"/>
      <c r="C22" s="83"/>
      <c r="D22" s="83"/>
      <c r="E22" s="83"/>
      <c r="F22" s="83"/>
      <c r="G22" s="83"/>
      <c r="H22" s="83"/>
      <c r="I22" s="83"/>
      <c r="J22" s="84"/>
    </row>
    <row r="23" spans="1:10" x14ac:dyDescent="0.25">
      <c r="A23" s="7"/>
      <c r="B23" s="7"/>
      <c r="C23" s="7"/>
      <c r="D23" s="7"/>
      <c r="E23" s="7"/>
      <c r="F23" s="7"/>
      <c r="G23" s="7"/>
      <c r="H23" s="7"/>
      <c r="I23" s="7"/>
      <c r="J23" s="7"/>
    </row>
    <row r="24" spans="1:10" ht="15.75" thickBot="1" x14ac:dyDescent="0.3">
      <c r="A24" s="52" t="s">
        <v>32</v>
      </c>
      <c r="B24" s="52"/>
      <c r="C24" s="52"/>
      <c r="D24" s="87"/>
      <c r="E24" s="87"/>
      <c r="F24" s="87"/>
      <c r="G24" s="87"/>
      <c r="H24" s="87"/>
      <c r="I24" s="88"/>
      <c r="J24" s="88"/>
    </row>
    <row r="25" spans="1:10" x14ac:dyDescent="0.25">
      <c r="A25" s="52" t="s">
        <v>33</v>
      </c>
      <c r="B25" s="52"/>
      <c r="C25" s="52"/>
      <c r="D25" s="89" t="s">
        <v>34</v>
      </c>
      <c r="E25" s="89"/>
      <c r="F25" s="89"/>
      <c r="G25" s="89"/>
      <c r="H25" s="89"/>
      <c r="I25" s="89" t="s">
        <v>35</v>
      </c>
      <c r="J25" s="89"/>
    </row>
    <row r="26" spans="1:10" x14ac:dyDescent="0.25">
      <c r="A26" s="68"/>
      <c r="B26" s="68"/>
      <c r="C26" s="68"/>
      <c r="D26" s="63"/>
      <c r="E26" s="63"/>
      <c r="F26" s="68"/>
      <c r="G26" s="68"/>
      <c r="H26" s="68"/>
      <c r="I26" s="69"/>
      <c r="J26" s="69"/>
    </row>
    <row r="27" spans="1:10" ht="15.75" customHeight="1" thickBot="1" x14ac:dyDescent="0.3">
      <c r="A27" s="52" t="s">
        <v>36</v>
      </c>
      <c r="B27" s="52"/>
      <c r="C27" s="52"/>
      <c r="D27" s="87"/>
      <c r="E27" s="87"/>
      <c r="F27" s="87"/>
      <c r="G27" s="87"/>
      <c r="H27" s="87"/>
      <c r="I27" s="88"/>
      <c r="J27" s="88"/>
    </row>
    <row r="28" spans="1:10" ht="15" customHeight="1" x14ac:dyDescent="0.25">
      <c r="A28" s="52" t="s">
        <v>50</v>
      </c>
      <c r="B28" s="52"/>
      <c r="C28" s="52"/>
      <c r="D28" s="89" t="s">
        <v>34</v>
      </c>
      <c r="E28" s="89"/>
      <c r="F28" s="89"/>
      <c r="G28" s="89"/>
      <c r="H28" s="89"/>
      <c r="I28" s="89" t="s">
        <v>35</v>
      </c>
      <c r="J28" s="89"/>
    </row>
    <row r="29" spans="1:10" x14ac:dyDescent="0.25">
      <c r="A29" s="68"/>
      <c r="B29" s="68"/>
      <c r="C29" s="68"/>
      <c r="D29" s="63"/>
      <c r="E29" s="63"/>
      <c r="F29" s="68"/>
      <c r="G29" s="68"/>
      <c r="H29" s="68"/>
      <c r="I29" s="69"/>
      <c r="J29" s="69"/>
    </row>
    <row r="30" spans="1:10" ht="15.75" customHeight="1" thickBot="1" x14ac:dyDescent="0.3">
      <c r="A30" s="52" t="s">
        <v>37</v>
      </c>
      <c r="B30" s="52"/>
      <c r="C30" s="52"/>
      <c r="D30" s="87"/>
      <c r="E30" s="87"/>
      <c r="F30" s="87"/>
      <c r="G30" s="87"/>
      <c r="H30" s="87"/>
      <c r="I30" s="88"/>
      <c r="J30" s="88"/>
    </row>
    <row r="31" spans="1:10" ht="15" customHeight="1" x14ac:dyDescent="0.25">
      <c r="A31" s="52" t="s">
        <v>38</v>
      </c>
      <c r="B31" s="52"/>
      <c r="C31" s="52"/>
      <c r="D31" s="89" t="s">
        <v>34</v>
      </c>
      <c r="E31" s="89"/>
      <c r="F31" s="89"/>
      <c r="G31" s="89"/>
      <c r="H31" s="89"/>
      <c r="I31" s="89" t="s">
        <v>35</v>
      </c>
      <c r="J31" s="89"/>
    </row>
    <row r="32" spans="1:10" x14ac:dyDescent="0.25">
      <c r="A32" s="68"/>
      <c r="B32" s="68"/>
      <c r="C32" s="68"/>
      <c r="D32" s="66"/>
      <c r="E32" s="66"/>
      <c r="F32" s="68"/>
      <c r="G32" s="68"/>
      <c r="H32" s="68"/>
      <c r="I32" s="69"/>
      <c r="J32" s="69"/>
    </row>
  </sheetData>
  <mergeCells count="72">
    <mergeCell ref="I4:J4"/>
    <mergeCell ref="I5:J5"/>
    <mergeCell ref="D25:H25"/>
    <mergeCell ref="D28:H28"/>
    <mergeCell ref="D31:H31"/>
    <mergeCell ref="G16:H16"/>
    <mergeCell ref="G17:H17"/>
    <mergeCell ref="G19:H19"/>
    <mergeCell ref="G20:H20"/>
    <mergeCell ref="G21:H21"/>
    <mergeCell ref="G8:H8"/>
    <mergeCell ref="G10:H10"/>
    <mergeCell ref="G11:H11"/>
    <mergeCell ref="G12:H12"/>
    <mergeCell ref="G13:H13"/>
    <mergeCell ref="G14:H14"/>
    <mergeCell ref="A29:C29"/>
    <mergeCell ref="D29:E29"/>
    <mergeCell ref="F29:H29"/>
    <mergeCell ref="I29:J29"/>
    <mergeCell ref="A30:C30"/>
    <mergeCell ref="D30:H30"/>
    <mergeCell ref="I30:J30"/>
    <mergeCell ref="A31:C31"/>
    <mergeCell ref="I31:J31"/>
    <mergeCell ref="A32:C32"/>
    <mergeCell ref="D32:E32"/>
    <mergeCell ref="F32:H32"/>
    <mergeCell ref="I32:J32"/>
    <mergeCell ref="I27:J27"/>
    <mergeCell ref="A28:C28"/>
    <mergeCell ref="I28:J28"/>
    <mergeCell ref="A25:C25"/>
    <mergeCell ref="I25:J25"/>
    <mergeCell ref="A26:C26"/>
    <mergeCell ref="D26:E26"/>
    <mergeCell ref="F26:H26"/>
    <mergeCell ref="I26:J26"/>
    <mergeCell ref="A27:C27"/>
    <mergeCell ref="D27:H27"/>
    <mergeCell ref="A24:C24"/>
    <mergeCell ref="D24:H24"/>
    <mergeCell ref="I24:J24"/>
    <mergeCell ref="B21:D21"/>
    <mergeCell ref="A22:J22"/>
    <mergeCell ref="B19:D19"/>
    <mergeCell ref="B20:D20"/>
    <mergeCell ref="B16:D16"/>
    <mergeCell ref="B17:D17"/>
    <mergeCell ref="B14:D14"/>
    <mergeCell ref="B15:D15"/>
    <mergeCell ref="A18:J18"/>
    <mergeCell ref="G15:H15"/>
    <mergeCell ref="B12:D12"/>
    <mergeCell ref="B13:D13"/>
    <mergeCell ref="B10:D10"/>
    <mergeCell ref="B11:D11"/>
    <mergeCell ref="A6:J6"/>
    <mergeCell ref="A7:J7"/>
    <mergeCell ref="B8:D8"/>
    <mergeCell ref="A9:J9"/>
    <mergeCell ref="A4:B4"/>
    <mergeCell ref="C4:F4"/>
    <mergeCell ref="A5:B5"/>
    <mergeCell ref="C5:F5"/>
    <mergeCell ref="A1:B2"/>
    <mergeCell ref="C1:F2"/>
    <mergeCell ref="G1:J1"/>
    <mergeCell ref="G2:J2"/>
    <mergeCell ref="A3:B3"/>
    <mergeCell ref="C3:F3"/>
    <mergeCell ref="I3:J3"/>
  </mergeCells>
  <dataValidations count="4">
    <dataValidation type="list" allowBlank="1" showInputMessage="1" showErrorMessage="1" sqref="I3:J3">
      <formula1>объектс</formula1>
    </dataValidation>
    <dataValidation type="list" allowBlank="1" showInputMessage="1" showErrorMessage="1" sqref="I4:J4">
      <formula1>титзонас</formula1>
    </dataValidation>
    <dataValidation type="list" allowBlank="1" showInputMessage="1" showErrorMessage="1" sqref="I5:J5">
      <formula1>разддисцс</formula1>
    </dataValidation>
    <dataValidation type="date" allowBlank="1" showInputMessage="1" showErrorMessage="1" sqref="F10:F17 F19:F21">
      <formula1>36526</formula1>
      <formula2>73051</formula2>
    </dataValidation>
  </dataValidations>
  <pageMargins left="0.98425196850393704" right="0.39370078740157483" top="0.39370078740157483" bottom="0.39370078740157483" header="0.31496062992125984" footer="0.31496062992125984"/>
  <pageSetup paperSize="9" scale="67" fitToHeight="10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0"/>
  <sheetViews>
    <sheetView tabSelected="1" view="pageLayout" zoomScaleSheetLayoutView="100" workbookViewId="0">
      <selection activeCell="D23" sqref="D23:H23"/>
    </sheetView>
  </sheetViews>
  <sheetFormatPr defaultRowHeight="15" x14ac:dyDescent="0.25"/>
  <cols>
    <col min="1" max="1" width="9.140625" style="1" customWidth="1"/>
    <col min="2" max="4" width="12.7109375" style="1" customWidth="1"/>
    <col min="5" max="5" width="17.28515625" style="1" customWidth="1"/>
    <col min="6" max="6" width="10.7109375" style="1" customWidth="1"/>
    <col min="7" max="7" width="6.7109375" style="1" customWidth="1"/>
    <col min="8" max="8" width="17.5703125" style="1" customWidth="1"/>
    <col min="9" max="10" width="9.7109375" style="1" customWidth="1"/>
    <col min="11" max="16384" width="9.140625" style="1"/>
  </cols>
  <sheetData>
    <row r="1" spans="1:10" ht="15" customHeight="1" x14ac:dyDescent="0.25">
      <c r="A1" s="52" t="s">
        <v>0</v>
      </c>
      <c r="B1" s="52"/>
      <c r="C1" s="91"/>
      <c r="D1" s="91"/>
      <c r="E1" s="91"/>
      <c r="F1" s="91"/>
      <c r="G1" s="71" t="s">
        <v>58</v>
      </c>
      <c r="H1" s="71"/>
      <c r="I1" s="71"/>
      <c r="J1" s="71"/>
    </row>
    <row r="2" spans="1:10" ht="15" customHeight="1" x14ac:dyDescent="0.25">
      <c r="A2" s="52"/>
      <c r="B2" s="52"/>
      <c r="C2" s="91"/>
      <c r="D2" s="91"/>
      <c r="E2" s="91"/>
      <c r="F2" s="91"/>
      <c r="G2" s="72"/>
      <c r="H2" s="72"/>
      <c r="I2" s="72"/>
      <c r="J2" s="72"/>
    </row>
    <row r="3" spans="1:10" ht="15" customHeight="1" x14ac:dyDescent="0.25">
      <c r="A3" s="52" t="s">
        <v>1</v>
      </c>
      <c r="B3" s="52"/>
      <c r="C3" s="53"/>
      <c r="D3" s="53"/>
      <c r="E3" s="53"/>
      <c r="F3" s="53"/>
      <c r="G3" s="21"/>
      <c r="H3" s="28" t="s">
        <v>53</v>
      </c>
      <c r="I3" s="53"/>
      <c r="J3" s="53"/>
    </row>
    <row r="4" spans="1:10" ht="15" customHeight="1" x14ac:dyDescent="0.25">
      <c r="A4" s="52" t="s">
        <v>49</v>
      </c>
      <c r="B4" s="52"/>
      <c r="C4" s="53"/>
      <c r="D4" s="53"/>
      <c r="E4" s="53"/>
      <c r="F4" s="53"/>
      <c r="G4" s="21"/>
      <c r="H4" s="28" t="s">
        <v>2</v>
      </c>
      <c r="I4" s="53"/>
      <c r="J4" s="53"/>
    </row>
    <row r="5" spans="1:10" ht="15" customHeight="1" x14ac:dyDescent="0.25">
      <c r="A5" s="52" t="s">
        <v>3</v>
      </c>
      <c r="B5" s="52"/>
      <c r="C5" s="53"/>
      <c r="D5" s="53"/>
      <c r="E5" s="53"/>
      <c r="F5" s="53"/>
      <c r="G5" s="21"/>
      <c r="H5" s="28" t="s">
        <v>52</v>
      </c>
      <c r="I5" s="53"/>
      <c r="J5" s="53"/>
    </row>
    <row r="6" spans="1:10" x14ac:dyDescent="0.25">
      <c r="A6" s="18"/>
      <c r="B6" s="57" t="s">
        <v>48</v>
      </c>
      <c r="C6" s="57"/>
      <c r="D6" s="57"/>
      <c r="E6" s="57"/>
      <c r="F6" s="57"/>
      <c r="G6" s="57"/>
      <c r="H6" s="57"/>
      <c r="I6" s="57"/>
      <c r="J6" s="57"/>
    </row>
    <row r="7" spans="1:10" ht="15.75" thickBot="1" x14ac:dyDescent="0.3">
      <c r="A7" s="19"/>
      <c r="B7" s="76"/>
      <c r="C7" s="76"/>
      <c r="D7" s="76"/>
      <c r="E7" s="76"/>
      <c r="F7" s="76"/>
      <c r="G7" s="76"/>
      <c r="H7" s="76"/>
      <c r="I7" s="76"/>
      <c r="J7" s="76"/>
    </row>
    <row r="8" spans="1:10" ht="24" customHeight="1" thickBot="1" x14ac:dyDescent="0.3">
      <c r="A8" s="2" t="s">
        <v>4</v>
      </c>
      <c r="B8" s="93" t="s">
        <v>5</v>
      </c>
      <c r="C8" s="94"/>
      <c r="D8" s="94"/>
      <c r="E8" s="9" t="s">
        <v>44</v>
      </c>
      <c r="F8" s="9" t="s">
        <v>45</v>
      </c>
      <c r="G8" s="95" t="s">
        <v>8</v>
      </c>
      <c r="H8" s="96"/>
      <c r="I8" s="2" t="s">
        <v>9</v>
      </c>
      <c r="J8" s="2" t="s">
        <v>10</v>
      </c>
    </row>
    <row r="9" spans="1:10" ht="15.75" thickBot="1" x14ac:dyDescent="0.3">
      <c r="A9" s="3">
        <v>1</v>
      </c>
      <c r="B9" s="74"/>
      <c r="C9" s="75"/>
      <c r="D9" s="75"/>
      <c r="E9" s="12"/>
      <c r="F9" s="11"/>
      <c r="G9" s="74"/>
      <c r="H9" s="92"/>
      <c r="I9" s="10"/>
      <c r="J9" s="8"/>
    </row>
    <row r="10" spans="1:10" ht="15.75" thickBot="1" x14ac:dyDescent="0.3">
      <c r="A10" s="3">
        <v>2</v>
      </c>
      <c r="B10" s="74"/>
      <c r="C10" s="75"/>
      <c r="D10" s="75"/>
      <c r="E10" s="12"/>
      <c r="F10" s="11"/>
      <c r="G10" s="74"/>
      <c r="H10" s="92"/>
      <c r="I10" s="10"/>
      <c r="J10" s="8"/>
    </row>
    <row r="11" spans="1:10" ht="15.75" thickBot="1" x14ac:dyDescent="0.3">
      <c r="A11" s="3">
        <v>3</v>
      </c>
      <c r="B11" s="74"/>
      <c r="C11" s="75"/>
      <c r="D11" s="75"/>
      <c r="E11" s="12"/>
      <c r="F11" s="11"/>
      <c r="G11" s="97"/>
      <c r="H11" s="98"/>
      <c r="I11" s="10"/>
      <c r="J11" s="8"/>
    </row>
    <row r="12" spans="1:10" ht="15.75" thickBot="1" x14ac:dyDescent="0.3">
      <c r="A12" s="3">
        <v>4</v>
      </c>
      <c r="B12" s="74"/>
      <c r="C12" s="75"/>
      <c r="D12" s="75"/>
      <c r="E12" s="12"/>
      <c r="F12" s="11"/>
      <c r="G12" s="74"/>
      <c r="H12" s="92"/>
      <c r="I12" s="10"/>
      <c r="J12" s="8"/>
    </row>
    <row r="13" spans="1:10" ht="15.75" thickBot="1" x14ac:dyDescent="0.3">
      <c r="A13" s="3"/>
      <c r="B13" s="74"/>
      <c r="C13" s="75"/>
      <c r="D13" s="75"/>
      <c r="E13" s="12"/>
      <c r="F13" s="11"/>
      <c r="G13" s="74"/>
      <c r="H13" s="92"/>
      <c r="I13" s="10"/>
      <c r="J13" s="8"/>
    </row>
    <row r="14" spans="1:10" ht="15.75" thickBot="1" x14ac:dyDescent="0.3">
      <c r="A14" s="3"/>
      <c r="B14" s="74"/>
      <c r="C14" s="75"/>
      <c r="D14" s="75"/>
      <c r="E14" s="12"/>
      <c r="F14" s="11"/>
      <c r="G14" s="74"/>
      <c r="H14" s="92"/>
      <c r="I14" s="10"/>
      <c r="J14" s="8"/>
    </row>
    <row r="15" spans="1:10" ht="15.75" thickBot="1" x14ac:dyDescent="0.3">
      <c r="A15" s="3"/>
      <c r="B15" s="74"/>
      <c r="C15" s="75"/>
      <c r="D15" s="75"/>
      <c r="E15" s="12"/>
      <c r="F15" s="11"/>
      <c r="G15" s="74"/>
      <c r="H15" s="92"/>
      <c r="I15" s="10"/>
      <c r="J15" s="8"/>
    </row>
    <row r="16" spans="1:10" ht="15.75" thickBot="1" x14ac:dyDescent="0.3">
      <c r="A16" s="3"/>
      <c r="B16" s="74"/>
      <c r="C16" s="75"/>
      <c r="D16" s="75"/>
      <c r="E16" s="12"/>
      <c r="F16" s="11"/>
      <c r="G16" s="74"/>
      <c r="H16" s="92"/>
      <c r="I16" s="10"/>
      <c r="J16" s="8"/>
    </row>
    <row r="17" spans="1:10" ht="15.75" thickBot="1" x14ac:dyDescent="0.3">
      <c r="A17" s="3"/>
      <c r="B17" s="74"/>
      <c r="C17" s="75"/>
      <c r="D17" s="75"/>
      <c r="E17" s="12"/>
      <c r="F17" s="11"/>
      <c r="G17" s="74"/>
      <c r="H17" s="92"/>
      <c r="I17" s="10"/>
      <c r="J17" s="8"/>
    </row>
    <row r="18" spans="1:10" ht="15.75" thickBot="1" x14ac:dyDescent="0.3">
      <c r="A18" s="3"/>
      <c r="B18" s="74"/>
      <c r="C18" s="75"/>
      <c r="D18" s="75"/>
      <c r="E18" s="12"/>
      <c r="F18" s="11"/>
      <c r="G18" s="74"/>
      <c r="H18" s="92"/>
      <c r="I18" s="10"/>
      <c r="J18" s="8"/>
    </row>
    <row r="19" spans="1:10" ht="15.75" thickBot="1" x14ac:dyDescent="0.3">
      <c r="A19" s="3"/>
      <c r="B19" s="74"/>
      <c r="C19" s="75"/>
      <c r="D19" s="75"/>
      <c r="E19" s="12"/>
      <c r="F19" s="11"/>
      <c r="G19" s="74"/>
      <c r="H19" s="92"/>
      <c r="I19" s="10"/>
      <c r="J19" s="8"/>
    </row>
    <row r="20" spans="1:10" ht="15.75" thickBot="1" x14ac:dyDescent="0.3">
      <c r="A20" s="3"/>
      <c r="B20" s="74"/>
      <c r="C20" s="75"/>
      <c r="D20" s="75"/>
      <c r="E20" s="12"/>
      <c r="F20" s="11"/>
      <c r="G20" s="74"/>
      <c r="H20" s="92"/>
      <c r="I20" s="10"/>
      <c r="J20" s="8"/>
    </row>
    <row r="21" spans="1:10" x14ac:dyDescent="0.25">
      <c r="A21" s="99"/>
      <c r="B21" s="99"/>
      <c r="C21" s="99"/>
      <c r="D21" s="99"/>
      <c r="E21" s="13"/>
      <c r="F21" s="25"/>
      <c r="G21" s="25"/>
      <c r="H21" s="25"/>
      <c r="I21" s="25"/>
      <c r="J21" s="5"/>
    </row>
    <row r="22" spans="1:10" ht="15.75" thickBot="1" x14ac:dyDescent="0.3">
      <c r="A22" s="52" t="s">
        <v>32</v>
      </c>
      <c r="B22" s="52"/>
      <c r="C22" s="52"/>
      <c r="D22" s="87"/>
      <c r="E22" s="87"/>
      <c r="F22" s="87"/>
      <c r="G22" s="87"/>
      <c r="H22" s="87"/>
      <c r="I22" s="88"/>
      <c r="J22" s="88"/>
    </row>
    <row r="23" spans="1:10" ht="15" customHeight="1" x14ac:dyDescent="0.25">
      <c r="A23" s="52" t="s">
        <v>33</v>
      </c>
      <c r="B23" s="52"/>
      <c r="C23" s="52"/>
      <c r="D23" s="89" t="s">
        <v>34</v>
      </c>
      <c r="E23" s="89"/>
      <c r="F23" s="89"/>
      <c r="G23" s="89"/>
      <c r="H23" s="89"/>
      <c r="I23" s="89" t="s">
        <v>35</v>
      </c>
      <c r="J23" s="89"/>
    </row>
    <row r="24" spans="1:10" x14ac:dyDescent="0.25">
      <c r="A24" s="68"/>
      <c r="B24" s="68"/>
      <c r="C24" s="68"/>
      <c r="D24" s="63"/>
      <c r="E24" s="63"/>
      <c r="F24" s="68"/>
      <c r="G24" s="68"/>
      <c r="H24" s="68"/>
      <c r="I24" s="69"/>
      <c r="J24" s="69"/>
    </row>
    <row r="25" spans="1:10" ht="15.75" thickBot="1" x14ac:dyDescent="0.3">
      <c r="A25" s="52" t="s">
        <v>36</v>
      </c>
      <c r="B25" s="52"/>
      <c r="C25" s="52"/>
      <c r="D25" s="87"/>
      <c r="E25" s="87"/>
      <c r="F25" s="87"/>
      <c r="G25" s="87"/>
      <c r="H25" s="87"/>
      <c r="I25" s="88"/>
      <c r="J25" s="88"/>
    </row>
    <row r="26" spans="1:10" ht="15" customHeight="1" x14ac:dyDescent="0.25">
      <c r="A26" s="52" t="s">
        <v>50</v>
      </c>
      <c r="B26" s="52"/>
      <c r="C26" s="52"/>
      <c r="D26" s="89" t="s">
        <v>34</v>
      </c>
      <c r="E26" s="89"/>
      <c r="F26" s="89"/>
      <c r="G26" s="89"/>
      <c r="H26" s="89"/>
      <c r="I26" s="89" t="s">
        <v>35</v>
      </c>
      <c r="J26" s="89"/>
    </row>
    <row r="27" spans="1:10" x14ac:dyDescent="0.25">
      <c r="A27" s="68"/>
      <c r="B27" s="68"/>
      <c r="C27" s="68"/>
      <c r="D27" s="63"/>
      <c r="E27" s="63"/>
      <c r="F27" s="68"/>
      <c r="G27" s="68"/>
      <c r="H27" s="68"/>
      <c r="I27" s="69"/>
      <c r="J27" s="69"/>
    </row>
    <row r="28" spans="1:10" ht="15.75" thickBot="1" x14ac:dyDescent="0.3">
      <c r="A28" s="52" t="s">
        <v>37</v>
      </c>
      <c r="B28" s="52"/>
      <c r="C28" s="52"/>
      <c r="D28" s="87"/>
      <c r="E28" s="87"/>
      <c r="F28" s="87"/>
      <c r="G28" s="87"/>
      <c r="H28" s="87"/>
      <c r="I28" s="88"/>
      <c r="J28" s="88"/>
    </row>
    <row r="29" spans="1:10" x14ac:dyDescent="0.25">
      <c r="A29" s="52" t="s">
        <v>38</v>
      </c>
      <c r="B29" s="52"/>
      <c r="C29" s="52"/>
      <c r="D29" s="89" t="s">
        <v>34</v>
      </c>
      <c r="E29" s="89"/>
      <c r="F29" s="89"/>
      <c r="G29" s="89"/>
      <c r="H29" s="89"/>
      <c r="I29" s="89" t="s">
        <v>35</v>
      </c>
      <c r="J29" s="89"/>
    </row>
    <row r="30" spans="1:10" x14ac:dyDescent="0.25">
      <c r="A30" s="100"/>
      <c r="B30" s="100"/>
      <c r="C30" s="23"/>
      <c r="D30" s="23"/>
      <c r="E30" s="23"/>
      <c r="F30" s="23"/>
      <c r="G30" s="26"/>
      <c r="H30" s="26"/>
      <c r="I30" s="27"/>
      <c r="J30" s="27"/>
    </row>
  </sheetData>
  <mergeCells count="69">
    <mergeCell ref="D26:H26"/>
    <mergeCell ref="I3:J3"/>
    <mergeCell ref="I4:J4"/>
    <mergeCell ref="I5:J5"/>
    <mergeCell ref="A22:C22"/>
    <mergeCell ref="D22:H22"/>
    <mergeCell ref="A23:C23"/>
    <mergeCell ref="D23:H23"/>
    <mergeCell ref="I25:J25"/>
    <mergeCell ref="I26:J26"/>
    <mergeCell ref="A25:C25"/>
    <mergeCell ref="D25:H25"/>
    <mergeCell ref="A26:C26"/>
    <mergeCell ref="I23:J23"/>
    <mergeCell ref="F24:H24"/>
    <mergeCell ref="I24:J24"/>
    <mergeCell ref="B17:D17"/>
    <mergeCell ref="G17:H17"/>
    <mergeCell ref="B18:D18"/>
    <mergeCell ref="G18:H18"/>
    <mergeCell ref="B15:D15"/>
    <mergeCell ref="G15:H15"/>
    <mergeCell ref="B16:D16"/>
    <mergeCell ref="G16:H16"/>
    <mergeCell ref="I29:J29"/>
    <mergeCell ref="A30:B30"/>
    <mergeCell ref="F27:H27"/>
    <mergeCell ref="I27:J27"/>
    <mergeCell ref="I28:J28"/>
    <mergeCell ref="A27:C27"/>
    <mergeCell ref="D27:E27"/>
    <mergeCell ref="A28:C28"/>
    <mergeCell ref="D28:H28"/>
    <mergeCell ref="A29:C29"/>
    <mergeCell ref="D29:H29"/>
    <mergeCell ref="A24:C24"/>
    <mergeCell ref="D24:E24"/>
    <mergeCell ref="A21:D21"/>
    <mergeCell ref="I22:J22"/>
    <mergeCell ref="B19:D19"/>
    <mergeCell ref="G19:H19"/>
    <mergeCell ref="B20:D20"/>
    <mergeCell ref="G20:H20"/>
    <mergeCell ref="G14:H14"/>
    <mergeCell ref="B11:D11"/>
    <mergeCell ref="G11:H11"/>
    <mergeCell ref="B12:D12"/>
    <mergeCell ref="G12:H12"/>
    <mergeCell ref="B13:D13"/>
    <mergeCell ref="G13:H13"/>
    <mergeCell ref="B14:D14"/>
    <mergeCell ref="B9:D9"/>
    <mergeCell ref="G9:H9"/>
    <mergeCell ref="B10:D10"/>
    <mergeCell ref="G10:H10"/>
    <mergeCell ref="B6:J6"/>
    <mergeCell ref="B7:J7"/>
    <mergeCell ref="B8:D8"/>
    <mergeCell ref="G8:H8"/>
    <mergeCell ref="A4:B4"/>
    <mergeCell ref="A5:B5"/>
    <mergeCell ref="A1:B2"/>
    <mergeCell ref="G1:J1"/>
    <mergeCell ref="G2:J2"/>
    <mergeCell ref="A3:B3"/>
    <mergeCell ref="C1:F2"/>
    <mergeCell ref="C3:F3"/>
    <mergeCell ref="C4:F4"/>
    <mergeCell ref="C5:F5"/>
  </mergeCells>
  <dataValidations count="4">
    <dataValidation type="date" allowBlank="1" showInputMessage="1" showErrorMessage="1" sqref="F9:F20">
      <formula1>36526</formula1>
      <formula2>73051</formula2>
    </dataValidation>
    <dataValidation type="list" allowBlank="1" showInputMessage="1" showErrorMessage="1" sqref="I3:J3">
      <formula1>объектс</formula1>
    </dataValidation>
    <dataValidation type="list" allowBlank="1" showInputMessage="1" showErrorMessage="1" sqref="I4:J4">
      <formula1>титзонас</formula1>
    </dataValidation>
    <dataValidation type="list" allowBlank="1" showInputMessage="1" showErrorMessage="1" sqref="I5:J5">
      <formula1>разддисцс</formula1>
    </dataValidation>
  </dataValidations>
  <pageMargins left="0.98425196850393704" right="0.39370078740157483" top="0.39370078740157483" bottom="0.39370078740157483" header="0.31496062992125984" footer="0.31496062992125984"/>
  <pageSetup paperSize="9" scale="73" fitToHeight="10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3</vt:i4>
      </vt:variant>
    </vt:vector>
  </HeadingPairs>
  <TitlesOfParts>
    <vt:vector size="6" baseType="lpstr">
      <vt:lpstr>Прил3</vt:lpstr>
      <vt:lpstr>Прил4</vt:lpstr>
      <vt:lpstr>Прил5</vt:lpstr>
      <vt:lpstr>Прил3!Заголовки_для_печати</vt:lpstr>
      <vt:lpstr>Прил3!Область_печати</vt:lpstr>
      <vt:lpstr>Прил4!Область_печати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manshinaas</dc:creator>
  <cp:lastModifiedBy>Кадникова Алёна Игоревна</cp:lastModifiedBy>
  <cp:lastPrinted>2021-07-21T10:47:00Z</cp:lastPrinted>
  <dcterms:created xsi:type="dcterms:W3CDTF">2012-07-09T11:21:40Z</dcterms:created>
  <dcterms:modified xsi:type="dcterms:W3CDTF">2024-11-14T10:29:43Z</dcterms:modified>
</cp:coreProperties>
</file>